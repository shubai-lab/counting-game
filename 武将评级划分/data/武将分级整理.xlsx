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C:\Users\zhangfan\my-openspec-project\武将评级划分\data\"/>
    </mc:Choice>
  </mc:AlternateContent>
  <xr:revisionPtr revIDLastSave="0" documentId="13_ncr:1_{98263B69-E5B4-4DC6-8F22-2DD5ADA0B1B8}" xr6:coauthVersionLast="36" xr6:coauthVersionMax="36" xr10:uidLastSave="{00000000-0000-0000-0000-000000000000}"/>
  <bookViews>
    <workbookView xWindow="0" yWindow="0" windowWidth="28800" windowHeight="11805" activeTab="1" xr2:uid="{00000000-000D-0000-FFFF-FFFF00000000}"/>
  </bookViews>
  <sheets>
    <sheet name="分级母表" sheetId="3" r:id="rId1"/>
    <sheet name="武将获取途径" sheetId="4" r:id="rId2"/>
    <sheet name="Sheet1" sheetId="1" r:id="rId3"/>
    <sheet name="Sheet5" sheetId="5" r:id="rId4"/>
    <sheet name="Sheet6" sheetId="6" r:id="rId5"/>
    <sheet name="当前环境有一战之力的武将" sheetId="7" r:id="rId6"/>
    <sheet name="可用的低付费武将" sheetId="9" r:id="rId7"/>
    <sheet name="Sheet8" sheetId="8" r:id="rId8"/>
  </sheets>
  <definedNames>
    <definedName name="_xlnm._FilterDatabase" localSheetId="2" hidden="1">Sheet1!$A$1:$D$935</definedName>
    <definedName name="_xlnm._FilterDatabase" localSheetId="7" hidden="1">Sheet8!$K$1:$O$75</definedName>
    <definedName name="_xlnm._FilterDatabase" localSheetId="5" hidden="1">当前环境有一战之力的武将!$A$1:$E$75</definedName>
    <definedName name="_xlnm._FilterDatabase" localSheetId="0" hidden="1">分级母表!$A$1:$G$735</definedName>
    <definedName name="_xlnm._FilterDatabase" localSheetId="6">可用的低付费武将!$A$1:$G$735</definedName>
  </definedNames>
  <calcPr calcId="191029"/>
</workbook>
</file>

<file path=xl/calcChain.xml><?xml version="1.0" encoding="utf-8"?>
<calcChain xmlns="http://schemas.openxmlformats.org/spreadsheetml/2006/main">
  <c r="G75" i="7" l="1"/>
  <c r="G74" i="7"/>
  <c r="G73" i="7"/>
  <c r="G72" i="7"/>
  <c r="G71" i="7"/>
  <c r="G70" i="7"/>
  <c r="G69" i="7"/>
  <c r="G68" i="7"/>
  <c r="G67" i="7"/>
  <c r="G66" i="7"/>
  <c r="G65" i="7"/>
  <c r="G64" i="7"/>
  <c r="G63" i="7"/>
  <c r="G62" i="7"/>
  <c r="G61" i="7"/>
  <c r="G60" i="7"/>
  <c r="G59" i="7"/>
  <c r="G58" i="7"/>
  <c r="G57" i="7"/>
  <c r="G56" i="7"/>
  <c r="G55" i="7"/>
  <c r="G54" i="7"/>
  <c r="G53" i="7"/>
  <c r="G52" i="7"/>
  <c r="G51" i="7"/>
  <c r="G50" i="7"/>
  <c r="G49" i="7"/>
  <c r="G48" i="7"/>
  <c r="G47" i="7"/>
  <c r="G46" i="7"/>
  <c r="G45" i="7"/>
  <c r="G44" i="7"/>
  <c r="G43" i="7"/>
  <c r="G42" i="7"/>
  <c r="G41" i="7"/>
  <c r="G40" i="7"/>
  <c r="G39" i="7"/>
  <c r="G38" i="7"/>
  <c r="G37" i="7"/>
  <c r="G36" i="7"/>
  <c r="G35" i="7"/>
  <c r="G34" i="7"/>
  <c r="G33" i="7"/>
  <c r="G32" i="7"/>
  <c r="G31" i="7"/>
  <c r="G30" i="7"/>
  <c r="G29" i="7"/>
  <c r="G28" i="7"/>
  <c r="G27" i="7"/>
  <c r="G26" i="7"/>
  <c r="G25" i="7"/>
  <c r="G24" i="7"/>
  <c r="G23" i="7"/>
  <c r="G22" i="7"/>
  <c r="G21" i="7"/>
  <c r="G20" i="7"/>
  <c r="G19" i="7"/>
  <c r="G18" i="7"/>
  <c r="G17" i="7"/>
  <c r="G16" i="7"/>
  <c r="G15" i="7"/>
  <c r="G14" i="7"/>
  <c r="G13" i="7"/>
  <c r="G12" i="7"/>
  <c r="G11" i="7"/>
  <c r="G10" i="7"/>
  <c r="G9" i="7"/>
  <c r="G8" i="7"/>
  <c r="G7" i="7"/>
  <c r="G6" i="7"/>
  <c r="G5" i="7"/>
  <c r="G4" i="7"/>
  <c r="G3" i="7"/>
  <c r="G2" i="7"/>
  <c r="D309" i="4"/>
  <c r="D308" i="4"/>
  <c r="D307" i="4"/>
  <c r="D306" i="4"/>
  <c r="D305" i="4"/>
  <c r="D304" i="4"/>
  <c r="D303" i="4"/>
  <c r="D302" i="4"/>
  <c r="D301" i="4"/>
  <c r="D300" i="4"/>
  <c r="D299" i="4"/>
  <c r="D298" i="4"/>
  <c r="D297" i="4"/>
  <c r="D296" i="4"/>
  <c r="D295" i="4"/>
  <c r="D294" i="4"/>
  <c r="D293" i="4"/>
  <c r="D292" i="4"/>
  <c r="D291" i="4"/>
  <c r="D290" i="4"/>
  <c r="D289" i="4"/>
  <c r="D288" i="4"/>
  <c r="D287" i="4"/>
  <c r="D286" i="4"/>
  <c r="D285" i="4"/>
  <c r="D284" i="4"/>
  <c r="D283" i="4"/>
  <c r="D282" i="4"/>
  <c r="D281" i="4"/>
  <c r="D280" i="4"/>
  <c r="D279" i="4"/>
  <c r="D278" i="4"/>
  <c r="D277" i="4"/>
  <c r="D276" i="4"/>
  <c r="D275" i="4"/>
  <c r="D274" i="4"/>
  <c r="D273" i="4"/>
  <c r="D272" i="4"/>
  <c r="D271" i="4"/>
  <c r="D270" i="4"/>
  <c r="D269" i="4"/>
  <c r="D268" i="4"/>
  <c r="D267" i="4"/>
  <c r="D266" i="4"/>
  <c r="D265" i="4"/>
  <c r="D264" i="4"/>
  <c r="D263" i="4"/>
  <c r="D262" i="4"/>
  <c r="D261" i="4"/>
  <c r="D260" i="4"/>
  <c r="D259" i="4"/>
  <c r="D258" i="4"/>
  <c r="D257" i="4"/>
  <c r="D256" i="4"/>
  <c r="D255" i="4"/>
  <c r="D254" i="4"/>
  <c r="D253" i="4"/>
  <c r="D252" i="4"/>
  <c r="D251" i="4"/>
  <c r="D250" i="4"/>
  <c r="D249" i="4"/>
  <c r="D248" i="4"/>
  <c r="D247" i="4"/>
  <c r="D246" i="4"/>
  <c r="D245" i="4"/>
  <c r="D244" i="4"/>
  <c r="D243" i="4"/>
  <c r="D242" i="4"/>
  <c r="D241" i="4"/>
  <c r="D240" i="4"/>
  <c r="D239" i="4"/>
  <c r="D238" i="4"/>
  <c r="D237" i="4"/>
  <c r="D236" i="4"/>
  <c r="D235" i="4"/>
  <c r="D234" i="4"/>
  <c r="D233" i="4"/>
  <c r="D232" i="4"/>
  <c r="D231" i="4"/>
  <c r="D230" i="4"/>
  <c r="D229" i="4"/>
  <c r="D228" i="4"/>
  <c r="D227" i="4"/>
  <c r="D226" i="4"/>
  <c r="D225" i="4"/>
  <c r="D224" i="4"/>
  <c r="D223" i="4"/>
  <c r="D222" i="4"/>
  <c r="D221" i="4"/>
  <c r="D220" i="4"/>
  <c r="D219" i="4"/>
  <c r="D218" i="4"/>
  <c r="D217" i="4"/>
  <c r="D216" i="4"/>
  <c r="D215" i="4"/>
  <c r="D214" i="4"/>
  <c r="D213" i="4"/>
  <c r="D212" i="4"/>
  <c r="D211" i="4"/>
  <c r="D210" i="4"/>
  <c r="D209" i="4"/>
  <c r="D208" i="4"/>
  <c r="D207" i="4"/>
  <c r="D206" i="4"/>
  <c r="D205" i="4"/>
  <c r="D204" i="4"/>
  <c r="D203" i="4"/>
  <c r="D202" i="4"/>
  <c r="D201" i="4"/>
  <c r="D200" i="4"/>
  <c r="D199" i="4"/>
  <c r="D198" i="4"/>
  <c r="D197" i="4"/>
  <c r="D196" i="4"/>
  <c r="D195" i="4"/>
  <c r="D194" i="4"/>
  <c r="D193" i="4"/>
  <c r="D192" i="4"/>
  <c r="D191" i="4"/>
  <c r="D190" i="4"/>
  <c r="D189" i="4"/>
  <c r="D188" i="4"/>
  <c r="D187" i="4"/>
  <c r="D186" i="4"/>
  <c r="D185" i="4"/>
  <c r="D184" i="4"/>
  <c r="D183" i="4"/>
  <c r="D182" i="4"/>
  <c r="D181" i="4"/>
  <c r="D180" i="4"/>
  <c r="D179" i="4"/>
  <c r="D178" i="4"/>
  <c r="D177" i="4"/>
  <c r="D176" i="4"/>
  <c r="D175" i="4"/>
  <c r="D174" i="4"/>
  <c r="D173" i="4"/>
  <c r="D172" i="4"/>
  <c r="D171" i="4"/>
  <c r="D170" i="4"/>
  <c r="D169" i="4"/>
  <c r="D168" i="4"/>
  <c r="D167" i="4"/>
  <c r="D166" i="4"/>
  <c r="D165" i="4"/>
  <c r="D164" i="4"/>
  <c r="D163" i="4"/>
  <c r="D162" i="4"/>
  <c r="D161" i="4"/>
  <c r="D160" i="4"/>
  <c r="D159" i="4"/>
  <c r="D158" i="4"/>
  <c r="D157" i="4"/>
  <c r="D156" i="4"/>
  <c r="D155" i="4"/>
  <c r="D154" i="4"/>
  <c r="D153" i="4"/>
  <c r="D152" i="4"/>
  <c r="D151" i="4"/>
  <c r="D150" i="4"/>
  <c r="D149" i="4"/>
  <c r="D148" i="4"/>
  <c r="D147" i="4"/>
  <c r="D146" i="4"/>
  <c r="D145" i="4"/>
  <c r="D144" i="4"/>
  <c r="D143" i="4"/>
  <c r="D142" i="4"/>
  <c r="D141" i="4"/>
  <c r="D140" i="4"/>
  <c r="D139" i="4"/>
  <c r="D138" i="4"/>
  <c r="D137" i="4"/>
  <c r="D136" i="4"/>
  <c r="D135" i="4"/>
  <c r="D134" i="4"/>
  <c r="D133" i="4"/>
  <c r="D132" i="4"/>
  <c r="D131" i="4"/>
  <c r="D130" i="4"/>
  <c r="D129" i="4"/>
  <c r="D128" i="4"/>
  <c r="D127" i="4"/>
  <c r="D126" i="4"/>
  <c r="D125" i="4"/>
  <c r="D124" i="4"/>
  <c r="D123" i="4"/>
  <c r="D122" i="4"/>
  <c r="D121" i="4"/>
  <c r="D120" i="4"/>
  <c r="D119" i="4"/>
  <c r="D118" i="4"/>
  <c r="D117" i="4"/>
  <c r="D116" i="4"/>
  <c r="D115" i="4"/>
  <c r="D114" i="4"/>
  <c r="D113" i="4"/>
  <c r="D112" i="4"/>
  <c r="D111" i="4"/>
  <c r="D110" i="4"/>
  <c r="D109" i="4"/>
  <c r="D108" i="4"/>
  <c r="D107" i="4"/>
  <c r="D106" i="4"/>
  <c r="D105" i="4"/>
  <c r="D104" i="4"/>
  <c r="D103" i="4"/>
  <c r="D102" i="4"/>
  <c r="D101" i="4"/>
  <c r="D100" i="4"/>
  <c r="D99" i="4"/>
  <c r="D98" i="4"/>
  <c r="D97" i="4"/>
  <c r="D96" i="4"/>
  <c r="D95" i="4"/>
  <c r="D94" i="4"/>
  <c r="D93" i="4"/>
  <c r="D92" i="4"/>
  <c r="D91" i="4"/>
  <c r="D90" i="4"/>
  <c r="D89" i="4"/>
  <c r="D88" i="4"/>
  <c r="D87" i="4"/>
  <c r="D86" i="4"/>
  <c r="D85" i="4"/>
  <c r="D84" i="4"/>
  <c r="D83" i="4"/>
  <c r="D82" i="4"/>
  <c r="D81" i="4"/>
  <c r="D80" i="4"/>
  <c r="D79" i="4"/>
  <c r="D78" i="4"/>
  <c r="D77" i="4"/>
  <c r="D76" i="4"/>
  <c r="D75" i="4"/>
  <c r="D74" i="4"/>
  <c r="D73" i="4"/>
  <c r="D72" i="4"/>
  <c r="D71" i="4"/>
  <c r="D70" i="4"/>
  <c r="D69" i="4"/>
  <c r="D68" i="4"/>
  <c r="D67" i="4"/>
  <c r="D66" i="4"/>
  <c r="D65" i="4"/>
  <c r="D64" i="4"/>
  <c r="D63" i="4"/>
  <c r="D62" i="4"/>
  <c r="D61" i="4"/>
  <c r="D60" i="4"/>
  <c r="D59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D2" i="4"/>
  <c r="D735" i="3"/>
  <c r="D734" i="3"/>
  <c r="D733" i="3"/>
  <c r="D732" i="3"/>
  <c r="D731" i="3"/>
  <c r="D730" i="3"/>
  <c r="D729" i="3"/>
  <c r="D728" i="3"/>
  <c r="D727" i="3"/>
  <c r="D726" i="3"/>
  <c r="D725" i="3"/>
  <c r="D724" i="3"/>
  <c r="D723" i="3"/>
  <c r="D722" i="3"/>
  <c r="D721" i="3"/>
  <c r="D720" i="3"/>
  <c r="D719" i="3"/>
  <c r="D717" i="3"/>
  <c r="D716" i="3"/>
  <c r="D715" i="3"/>
  <c r="D714" i="3"/>
  <c r="D713" i="3"/>
  <c r="D712" i="3"/>
  <c r="D711" i="3"/>
  <c r="D710" i="3"/>
  <c r="D709" i="3"/>
  <c r="D708" i="3"/>
  <c r="D707" i="3"/>
  <c r="D706" i="3"/>
  <c r="D705" i="3"/>
  <c r="D704" i="3"/>
  <c r="D703" i="3"/>
  <c r="D702" i="3"/>
  <c r="D701" i="3"/>
  <c r="D700" i="3"/>
  <c r="D699" i="3"/>
  <c r="D698" i="3"/>
  <c r="D697" i="3"/>
  <c r="D696" i="3"/>
  <c r="D695" i="3"/>
  <c r="D694" i="3"/>
  <c r="D693" i="3"/>
  <c r="D692" i="3"/>
  <c r="D691" i="3"/>
  <c r="D690" i="3"/>
  <c r="D689" i="3"/>
  <c r="D688" i="3"/>
  <c r="D687" i="3"/>
  <c r="D686" i="3"/>
  <c r="D685" i="3"/>
  <c r="D684" i="3"/>
  <c r="D683" i="3"/>
  <c r="D682" i="3"/>
  <c r="D681" i="3"/>
  <c r="D680" i="3"/>
  <c r="D679" i="3"/>
  <c r="D678" i="3"/>
  <c r="D677" i="3"/>
  <c r="D676" i="3"/>
  <c r="D675" i="3"/>
  <c r="D674" i="3"/>
  <c r="D673" i="3"/>
  <c r="D672" i="3"/>
  <c r="D671" i="3"/>
  <c r="D670" i="3"/>
  <c r="D669" i="3"/>
  <c r="D668" i="3"/>
  <c r="D667" i="3"/>
  <c r="D666" i="3"/>
  <c r="D665" i="3"/>
  <c r="D664" i="3"/>
  <c r="D663" i="3"/>
  <c r="D662" i="3"/>
  <c r="D661" i="3"/>
  <c r="D660" i="3"/>
  <c r="D659" i="3"/>
  <c r="D658" i="3"/>
  <c r="D657" i="3"/>
  <c r="D656" i="3"/>
  <c r="D655" i="3"/>
  <c r="D654" i="3"/>
  <c r="D653" i="3"/>
  <c r="D652" i="3"/>
  <c r="D651" i="3"/>
  <c r="D650" i="3"/>
  <c r="D649" i="3"/>
  <c r="D648" i="3"/>
  <c r="D647" i="3"/>
  <c r="D646" i="3"/>
  <c r="D645" i="3"/>
  <c r="D644" i="3"/>
  <c r="D643" i="3"/>
  <c r="D642" i="3"/>
  <c r="D641" i="3"/>
  <c r="D640" i="3"/>
  <c r="D639" i="3"/>
  <c r="D638" i="3"/>
  <c r="D637" i="3"/>
  <c r="D636" i="3"/>
  <c r="D635" i="3"/>
  <c r="D634" i="3"/>
  <c r="D633" i="3"/>
  <c r="D632" i="3"/>
  <c r="D631" i="3"/>
  <c r="D630" i="3"/>
  <c r="D629" i="3"/>
  <c r="D628" i="3"/>
  <c r="D627" i="3"/>
  <c r="D626" i="3"/>
  <c r="D625" i="3"/>
  <c r="D624" i="3"/>
  <c r="D623" i="3"/>
  <c r="D622" i="3"/>
  <c r="D621" i="3"/>
  <c r="D620" i="3"/>
  <c r="D619" i="3"/>
  <c r="D618" i="3"/>
  <c r="D617" i="3"/>
  <c r="D616" i="3"/>
  <c r="D615" i="3"/>
  <c r="D614" i="3"/>
  <c r="D613" i="3"/>
  <c r="D612" i="3"/>
  <c r="D611" i="3"/>
  <c r="D610" i="3"/>
  <c r="D609" i="3"/>
  <c r="D608" i="3"/>
  <c r="D607" i="3"/>
  <c r="D606" i="3"/>
  <c r="D605" i="3"/>
  <c r="D604" i="3"/>
  <c r="D603" i="3"/>
  <c r="D602" i="3"/>
  <c r="D601" i="3"/>
  <c r="D600" i="3"/>
  <c r="D599" i="3"/>
  <c r="D598" i="3"/>
  <c r="D597" i="3"/>
  <c r="D596" i="3"/>
  <c r="D595" i="3"/>
  <c r="D594" i="3"/>
  <c r="D593" i="3"/>
  <c r="D592" i="3"/>
  <c r="D591" i="3"/>
  <c r="D590" i="3"/>
  <c r="D589" i="3"/>
  <c r="D588" i="3"/>
  <c r="D587" i="3"/>
  <c r="D586" i="3"/>
  <c r="D585" i="3"/>
  <c r="D584" i="3"/>
  <c r="D583" i="3"/>
  <c r="D582" i="3"/>
  <c r="D581" i="3"/>
  <c r="D580" i="3"/>
  <c r="D579" i="3"/>
  <c r="D578" i="3"/>
  <c r="D577" i="3"/>
  <c r="D576" i="3"/>
  <c r="D575" i="3"/>
  <c r="D574" i="3"/>
  <c r="D573" i="3"/>
  <c r="D572" i="3"/>
  <c r="D571" i="3"/>
  <c r="D570" i="3"/>
  <c r="D569" i="3"/>
  <c r="D568" i="3"/>
  <c r="D567" i="3"/>
  <c r="D566" i="3"/>
  <c r="D565" i="3"/>
  <c r="D564" i="3"/>
  <c r="D563" i="3"/>
  <c r="D562" i="3"/>
  <c r="D561" i="3"/>
  <c r="D560" i="3"/>
  <c r="D559" i="3"/>
  <c r="D558" i="3"/>
  <c r="D557" i="3"/>
  <c r="D556" i="3"/>
  <c r="D555" i="3"/>
  <c r="D554" i="3"/>
  <c r="D553" i="3"/>
  <c r="D552" i="3"/>
  <c r="D551" i="3"/>
  <c r="D550" i="3"/>
  <c r="D549" i="3"/>
  <c r="D548" i="3"/>
  <c r="D547" i="3"/>
  <c r="D546" i="3"/>
  <c r="D545" i="3"/>
  <c r="D544" i="3"/>
  <c r="D543" i="3"/>
  <c r="D542" i="3"/>
  <c r="D541" i="3"/>
  <c r="D540" i="3"/>
  <c r="D539" i="3"/>
  <c r="D538" i="3"/>
  <c r="D537" i="3"/>
  <c r="D536" i="3"/>
  <c r="D535" i="3"/>
  <c r="D534" i="3"/>
  <c r="D533" i="3"/>
  <c r="D532" i="3"/>
  <c r="D531" i="3"/>
  <c r="D530" i="3"/>
  <c r="D529" i="3"/>
  <c r="D528" i="3"/>
  <c r="D527" i="3"/>
  <c r="D526" i="3"/>
  <c r="D525" i="3"/>
  <c r="D524" i="3"/>
  <c r="D523" i="3"/>
  <c r="D522" i="3"/>
  <c r="D521" i="3"/>
  <c r="D520" i="3"/>
  <c r="D519" i="3"/>
  <c r="D518" i="3"/>
  <c r="D517" i="3"/>
  <c r="D516" i="3"/>
  <c r="D515" i="3"/>
  <c r="D514" i="3"/>
  <c r="D513" i="3"/>
  <c r="D512" i="3"/>
  <c r="D511" i="3"/>
  <c r="D510" i="3"/>
  <c r="D509" i="3"/>
  <c r="D508" i="3"/>
  <c r="D507" i="3"/>
  <c r="D506" i="3"/>
  <c r="D505" i="3"/>
  <c r="D504" i="3"/>
  <c r="D503" i="3"/>
  <c r="D502" i="3"/>
  <c r="D501" i="3"/>
  <c r="D500" i="3"/>
  <c r="D499" i="3"/>
  <c r="D498" i="3"/>
  <c r="D497" i="3"/>
  <c r="D496" i="3"/>
  <c r="D495" i="3"/>
  <c r="D494" i="3"/>
  <c r="D493" i="3"/>
  <c r="D492" i="3"/>
  <c r="D491" i="3"/>
  <c r="D490" i="3"/>
  <c r="D489" i="3"/>
  <c r="D488" i="3"/>
  <c r="D487" i="3"/>
  <c r="D486" i="3"/>
  <c r="D485" i="3"/>
  <c r="D484" i="3"/>
  <c r="D483" i="3"/>
  <c r="D482" i="3"/>
  <c r="D481" i="3"/>
  <c r="D480" i="3"/>
  <c r="D479" i="3"/>
  <c r="D478" i="3"/>
  <c r="D477" i="3"/>
  <c r="D476" i="3"/>
  <c r="D475" i="3"/>
  <c r="D474" i="3"/>
  <c r="D473" i="3"/>
  <c r="D472" i="3"/>
  <c r="D471" i="3"/>
  <c r="D470" i="3"/>
  <c r="D469" i="3"/>
  <c r="D468" i="3"/>
  <c r="D467" i="3"/>
  <c r="D466" i="3"/>
  <c r="D465" i="3"/>
  <c r="D464" i="3"/>
  <c r="D463" i="3"/>
  <c r="D462" i="3"/>
  <c r="D461" i="3"/>
  <c r="D460" i="3"/>
  <c r="D459" i="3"/>
  <c r="D458" i="3"/>
  <c r="D457" i="3"/>
  <c r="D456" i="3"/>
  <c r="D455" i="3"/>
  <c r="D454" i="3"/>
  <c r="D453" i="3"/>
  <c r="D452" i="3"/>
  <c r="D451" i="3"/>
  <c r="D450" i="3"/>
  <c r="D449" i="3"/>
  <c r="D448" i="3"/>
  <c r="D447" i="3"/>
  <c r="D446" i="3"/>
  <c r="D445" i="3"/>
  <c r="D444" i="3"/>
  <c r="D443" i="3"/>
  <c r="D442" i="3"/>
  <c r="D441" i="3"/>
  <c r="D440" i="3"/>
  <c r="D439" i="3"/>
  <c r="D438" i="3"/>
  <c r="D437" i="3"/>
  <c r="D436" i="3"/>
  <c r="D435" i="3"/>
  <c r="D434" i="3"/>
  <c r="D433" i="3"/>
  <c r="D432" i="3"/>
  <c r="D431" i="3"/>
  <c r="D430" i="3"/>
  <c r="D429" i="3"/>
  <c r="D428" i="3"/>
  <c r="D427" i="3"/>
  <c r="D426" i="3"/>
  <c r="D425" i="3"/>
  <c r="D424" i="3"/>
  <c r="D423" i="3"/>
  <c r="D422" i="3"/>
  <c r="D421" i="3"/>
  <c r="D420" i="3"/>
  <c r="D419" i="3"/>
  <c r="D418" i="3"/>
  <c r="D417" i="3"/>
  <c r="D416" i="3"/>
  <c r="D415" i="3"/>
  <c r="D414" i="3"/>
  <c r="D413" i="3"/>
  <c r="D412" i="3"/>
  <c r="D411" i="3"/>
  <c r="D410" i="3"/>
  <c r="D409" i="3"/>
  <c r="D408" i="3"/>
  <c r="D407" i="3"/>
  <c r="D406" i="3"/>
  <c r="D405" i="3"/>
  <c r="D404" i="3"/>
  <c r="D403" i="3"/>
  <c r="D402" i="3"/>
  <c r="D401" i="3"/>
  <c r="D400" i="3"/>
  <c r="D399" i="3"/>
  <c r="D398" i="3"/>
  <c r="D397" i="3"/>
  <c r="D396" i="3"/>
  <c r="D395" i="3"/>
  <c r="D394" i="3"/>
  <c r="D393" i="3"/>
  <c r="D392" i="3"/>
  <c r="D391" i="3"/>
  <c r="D390" i="3"/>
  <c r="D389" i="3"/>
  <c r="D388" i="3"/>
  <c r="D387" i="3"/>
  <c r="D386" i="3"/>
  <c r="D385" i="3"/>
  <c r="D384" i="3"/>
  <c r="D383" i="3"/>
  <c r="D382" i="3"/>
  <c r="D381" i="3"/>
  <c r="D380" i="3"/>
  <c r="D379" i="3"/>
  <c r="D378" i="3"/>
  <c r="D377" i="3"/>
  <c r="D376" i="3"/>
  <c r="D375" i="3"/>
  <c r="D374" i="3"/>
  <c r="D373" i="3"/>
  <c r="D372" i="3"/>
  <c r="D371" i="3"/>
  <c r="D370" i="3"/>
  <c r="D369" i="3"/>
  <c r="D368" i="3"/>
  <c r="D367" i="3"/>
  <c r="D366" i="3"/>
  <c r="D365" i="3"/>
  <c r="D364" i="3"/>
  <c r="D363" i="3"/>
  <c r="D362" i="3"/>
  <c r="D361" i="3"/>
  <c r="D360" i="3"/>
  <c r="D359" i="3"/>
  <c r="D358" i="3"/>
  <c r="D357" i="3"/>
  <c r="D356" i="3"/>
  <c r="D355" i="3"/>
  <c r="D354" i="3"/>
  <c r="D353" i="3"/>
  <c r="D352" i="3"/>
  <c r="D351" i="3"/>
  <c r="D350" i="3"/>
  <c r="D349" i="3"/>
  <c r="D348" i="3"/>
  <c r="D347" i="3"/>
  <c r="D346" i="3"/>
  <c r="D345" i="3"/>
  <c r="D344" i="3"/>
  <c r="D343" i="3"/>
  <c r="D342" i="3"/>
  <c r="D341" i="3"/>
  <c r="D340" i="3"/>
  <c r="D339" i="3"/>
  <c r="D338" i="3"/>
  <c r="D337" i="3"/>
  <c r="D336" i="3"/>
  <c r="D335" i="3"/>
  <c r="D334" i="3"/>
  <c r="D333" i="3"/>
  <c r="D332" i="3"/>
  <c r="D331" i="3"/>
  <c r="D330" i="3"/>
  <c r="D329" i="3"/>
  <c r="D328" i="3"/>
  <c r="D327" i="3"/>
  <c r="D326" i="3"/>
  <c r="D325" i="3"/>
  <c r="D324" i="3"/>
  <c r="D323" i="3"/>
  <c r="D322" i="3"/>
  <c r="D321" i="3"/>
  <c r="D320" i="3"/>
  <c r="D319" i="3"/>
  <c r="D318" i="3"/>
  <c r="D317" i="3"/>
  <c r="D316" i="3"/>
  <c r="D315" i="3"/>
  <c r="D314" i="3"/>
  <c r="D313" i="3"/>
  <c r="D312" i="3"/>
  <c r="D311" i="3"/>
  <c r="D310" i="3"/>
  <c r="D309" i="3"/>
  <c r="D308" i="3"/>
  <c r="D307" i="3"/>
  <c r="D306" i="3"/>
  <c r="D305" i="3"/>
  <c r="D304" i="3"/>
  <c r="D303" i="3"/>
  <c r="D302" i="3"/>
  <c r="D301" i="3"/>
  <c r="D300" i="3"/>
  <c r="D299" i="3"/>
  <c r="D298" i="3"/>
  <c r="D297" i="3"/>
  <c r="D296" i="3"/>
  <c r="D295" i="3"/>
  <c r="D294" i="3"/>
  <c r="D293" i="3"/>
  <c r="D292" i="3"/>
  <c r="D291" i="3"/>
  <c r="D290" i="3"/>
  <c r="D288" i="3"/>
  <c r="D286" i="3"/>
  <c r="D285" i="3"/>
  <c r="D284" i="3"/>
  <c r="D282" i="3"/>
  <c r="D281" i="3"/>
  <c r="D280" i="3"/>
  <c r="D279" i="3"/>
  <c r="D278" i="3"/>
  <c r="D276" i="3"/>
  <c r="D275" i="3"/>
  <c r="D274" i="3"/>
  <c r="D273" i="3"/>
  <c r="D272" i="3"/>
  <c r="D271" i="3"/>
  <c r="D270" i="3"/>
  <c r="D269" i="3"/>
  <c r="D268" i="3"/>
  <c r="D267" i="3"/>
  <c r="D266" i="3"/>
  <c r="D265" i="3"/>
  <c r="D264" i="3"/>
  <c r="D263" i="3"/>
  <c r="D262" i="3"/>
  <c r="D261" i="3"/>
  <c r="D260" i="3"/>
  <c r="D259" i="3"/>
  <c r="D258" i="3"/>
  <c r="D257" i="3"/>
  <c r="D256" i="3"/>
  <c r="D254" i="3"/>
  <c r="D247" i="3"/>
  <c r="D245" i="3"/>
  <c r="D244" i="3"/>
  <c r="D242" i="3"/>
  <c r="D238" i="3"/>
  <c r="D237" i="3"/>
  <c r="D234" i="3"/>
  <c r="D232" i="3"/>
  <c r="D231" i="3"/>
  <c r="D226" i="3"/>
  <c r="D223" i="3"/>
  <c r="D220" i="3"/>
  <c r="D219" i="3"/>
  <c r="D218" i="3"/>
  <c r="D217" i="3"/>
  <c r="D214" i="3"/>
  <c r="D213" i="3"/>
  <c r="D211" i="3"/>
  <c r="D208" i="3"/>
  <c r="D207" i="3"/>
  <c r="D206" i="3"/>
  <c r="D205" i="3"/>
  <c r="D203" i="3"/>
  <c r="D202" i="3"/>
  <c r="D200" i="3"/>
  <c r="D199" i="3"/>
  <c r="D197" i="3"/>
  <c r="D196" i="3"/>
  <c r="D194" i="3"/>
  <c r="D190" i="3"/>
  <c r="D189" i="3"/>
  <c r="D188" i="3"/>
  <c r="D187" i="3"/>
  <c r="D186" i="3"/>
  <c r="D184" i="3"/>
  <c r="D183" i="3"/>
  <c r="D182" i="3"/>
  <c r="D180" i="3"/>
  <c r="D178" i="3"/>
  <c r="D176" i="3"/>
  <c r="D174" i="3"/>
  <c r="D172" i="3"/>
  <c r="D171" i="3"/>
  <c r="D170" i="3"/>
  <c r="D166" i="3"/>
  <c r="D165" i="3"/>
  <c r="D164" i="3"/>
  <c r="D163" i="3"/>
  <c r="D162" i="3"/>
  <c r="D161" i="3"/>
  <c r="D160" i="3"/>
  <c r="D155" i="3"/>
  <c r="D151" i="3"/>
  <c r="D150" i="3"/>
  <c r="D149" i="3"/>
  <c r="D148" i="3"/>
  <c r="D147" i="3"/>
  <c r="D146" i="3"/>
  <c r="D145" i="3"/>
  <c r="D144" i="3"/>
  <c r="D143" i="3"/>
  <c r="D142" i="3"/>
  <c r="D140" i="3"/>
  <c r="D139" i="3"/>
  <c r="D138" i="3"/>
  <c r="D137" i="3"/>
  <c r="D134" i="3"/>
  <c r="D131" i="3"/>
  <c r="D129" i="3"/>
  <c r="D128" i="3"/>
  <c r="D127" i="3"/>
  <c r="D126" i="3"/>
  <c r="D124" i="3"/>
  <c r="D123" i="3"/>
  <c r="D121" i="3"/>
  <c r="D120" i="3"/>
  <c r="D119" i="3"/>
  <c r="D118" i="3"/>
  <c r="D117" i="3"/>
  <c r="D114" i="3"/>
  <c r="D113" i="3"/>
  <c r="D112" i="3"/>
  <c r="D111" i="3"/>
  <c r="D110" i="3"/>
  <c r="D109" i="3"/>
  <c r="D108" i="3"/>
  <c r="D107" i="3"/>
  <c r="D106" i="3"/>
  <c r="D105" i="3"/>
  <c r="D103" i="3"/>
  <c r="D101" i="3"/>
  <c r="D100" i="3"/>
  <c r="D99" i="3"/>
  <c r="D98" i="3"/>
  <c r="D97" i="3"/>
  <c r="D96" i="3"/>
  <c r="D92" i="3"/>
  <c r="D91" i="3"/>
  <c r="D90" i="3"/>
  <c r="D88" i="3"/>
  <c r="D87" i="3"/>
  <c r="D86" i="3"/>
  <c r="D85" i="3"/>
  <c r="D84" i="3"/>
  <c r="D83" i="3"/>
  <c r="D82" i="3"/>
  <c r="D81" i="3"/>
  <c r="D80" i="3"/>
  <c r="D78" i="3"/>
  <c r="D77" i="3"/>
  <c r="D76" i="3"/>
  <c r="D75" i="3"/>
  <c r="D74" i="3"/>
  <c r="D72" i="3"/>
  <c r="D71" i="3"/>
  <c r="D70" i="3"/>
  <c r="D69" i="3"/>
  <c r="D68" i="3"/>
  <c r="D67" i="3"/>
  <c r="D66" i="3"/>
  <c r="D65" i="3"/>
  <c r="D64" i="3"/>
  <c r="D63" i="3"/>
  <c r="D62" i="3"/>
  <c r="D61" i="3"/>
  <c r="D59" i="3"/>
  <c r="D58" i="3"/>
  <c r="D57" i="3"/>
  <c r="D56" i="3"/>
  <c r="D55" i="3"/>
  <c r="D54" i="3"/>
  <c r="D53" i="3"/>
  <c r="D52" i="3"/>
  <c r="D51" i="3"/>
  <c r="D50" i="3"/>
  <c r="D49" i="3"/>
  <c r="D47" i="3"/>
  <c r="D46" i="3"/>
  <c r="D45" i="3"/>
  <c r="D44" i="3"/>
  <c r="D43" i="3"/>
  <c r="D42" i="3"/>
  <c r="D41" i="3"/>
  <c r="D40" i="3"/>
  <c r="D39" i="3"/>
  <c r="D38" i="3"/>
  <c r="D36" i="3"/>
  <c r="D35" i="3"/>
  <c r="D34" i="3"/>
  <c r="D33" i="3"/>
  <c r="D32" i="3"/>
  <c r="D31" i="3"/>
  <c r="D30" i="3"/>
  <c r="D29" i="3"/>
  <c r="D28" i="3"/>
  <c r="D27" i="3"/>
  <c r="D26" i="3"/>
  <c r="D25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8" i="3"/>
  <c r="D7" i="3"/>
  <c r="D6" i="3"/>
  <c r="D5" i="3"/>
  <c r="D4" i="3"/>
  <c r="D3" i="3"/>
  <c r="D2" i="3"/>
</calcChain>
</file>

<file path=xl/sharedStrings.xml><?xml version="1.0" encoding="utf-8"?>
<sst xmlns="http://schemas.openxmlformats.org/spreadsheetml/2006/main" count="4034" uniqueCount="869">
  <si>
    <t>GeneralName</t>
  </si>
  <si>
    <t>NewMatchWinRate</t>
  </si>
  <si>
    <t>分级</t>
  </si>
  <si>
    <t>武将获取途径</t>
  </si>
  <si>
    <t>价格</t>
  </si>
  <si>
    <t>备注</t>
  </si>
  <si>
    <t>武诸葛亮</t>
  </si>
  <si>
    <t>T0</t>
  </si>
  <si>
    <t>武陆逊</t>
  </si>
  <si>
    <t>乐蔡文姬</t>
  </si>
  <si>
    <t>谋邓艾</t>
  </si>
  <si>
    <t>威曹操</t>
  </si>
  <si>
    <t>谋贾诩</t>
  </si>
  <si>
    <t>T1</t>
  </si>
  <si>
    <t>威孙权</t>
  </si>
  <si>
    <t>王朗</t>
  </si>
  <si>
    <t>国士商城</t>
  </si>
  <si>
    <t>周宣</t>
  </si>
  <si>
    <t>曹芳</t>
  </si>
  <si>
    <t>谋荀彧</t>
  </si>
  <si>
    <t>神庞统</t>
  </si>
  <si>
    <t>许靖</t>
  </si>
  <si>
    <t>神张飞</t>
  </si>
  <si>
    <t>神马超</t>
  </si>
  <si>
    <t>神黄忠</t>
  </si>
  <si>
    <t>谋骆统</t>
  </si>
  <si>
    <t>滕芳兰</t>
  </si>
  <si>
    <t>神华佗</t>
  </si>
  <si>
    <t>柏灵筠</t>
  </si>
  <si>
    <t>谋司马师</t>
  </si>
  <si>
    <t>星曹仁</t>
  </si>
  <si>
    <t>武皇甫嵩</t>
  </si>
  <si>
    <t>珍宝</t>
  </si>
  <si>
    <t>神钟会</t>
  </si>
  <si>
    <t>张奂</t>
  </si>
  <si>
    <t>威吕布</t>
  </si>
  <si>
    <t>T2</t>
  </si>
  <si>
    <t>谋司马懿</t>
  </si>
  <si>
    <t>威张辽</t>
  </si>
  <si>
    <t>薛灵芸</t>
  </si>
  <si>
    <t>武关羽</t>
  </si>
  <si>
    <t>庞凤衣</t>
  </si>
  <si>
    <t>黄舞蝶</t>
  </si>
  <si>
    <t>诸葛京</t>
  </si>
  <si>
    <t>庞宏</t>
  </si>
  <si>
    <t>笮融</t>
  </si>
  <si>
    <t>吴范</t>
  </si>
  <si>
    <t>将符商店</t>
  </si>
  <si>
    <t>丁尚涴</t>
  </si>
  <si>
    <t>刘衿刘佩</t>
  </si>
  <si>
    <t>谋张绣</t>
  </si>
  <si>
    <t>关宁</t>
  </si>
  <si>
    <t>朱建平</t>
  </si>
  <si>
    <t>周不疑</t>
  </si>
  <si>
    <t>桓阶</t>
  </si>
  <si>
    <t>谋曹洪</t>
  </si>
  <si>
    <t>神孙权</t>
  </si>
  <si>
    <t>夏侯玄</t>
  </si>
  <si>
    <t>张琪瑛</t>
  </si>
  <si>
    <t>诸葛均</t>
  </si>
  <si>
    <t>夏侯徽</t>
  </si>
  <si>
    <t>贾充</t>
  </si>
  <si>
    <t>乐小乔</t>
  </si>
  <si>
    <t>郭缇萦</t>
  </si>
  <si>
    <t>吴质</t>
  </si>
  <si>
    <t>威曹丕</t>
  </si>
  <si>
    <t>钟毓</t>
  </si>
  <si>
    <t>任婉</t>
  </si>
  <si>
    <t>谋姜维</t>
  </si>
  <si>
    <t>谋黄权</t>
  </si>
  <si>
    <t>留赞</t>
  </si>
  <si>
    <t>T3</t>
  </si>
  <si>
    <t>许劭</t>
  </si>
  <si>
    <t>刘晔</t>
  </si>
  <si>
    <t>谋郭嘉</t>
  </si>
  <si>
    <t>曹宪</t>
  </si>
  <si>
    <t>曹金玉</t>
  </si>
  <si>
    <t>谋陆逊</t>
  </si>
  <si>
    <t>谋董承</t>
  </si>
  <si>
    <t>乐祢衡</t>
  </si>
  <si>
    <t>李丰</t>
  </si>
  <si>
    <t>孟优</t>
  </si>
  <si>
    <t>神许褚</t>
  </si>
  <si>
    <t>乐貂蝉</t>
  </si>
  <si>
    <t>陈珪</t>
  </si>
  <si>
    <t>冯妤</t>
  </si>
  <si>
    <t>孙翊</t>
  </si>
  <si>
    <t>张曼成</t>
  </si>
  <si>
    <t>袁胤</t>
  </si>
  <si>
    <t>文钦</t>
  </si>
  <si>
    <t>徐荣</t>
  </si>
  <si>
    <t>管宁</t>
  </si>
  <si>
    <t>卢弈</t>
  </si>
  <si>
    <t>sp甄姬</t>
  </si>
  <si>
    <t>曹轶</t>
  </si>
  <si>
    <t>凌操</t>
  </si>
  <si>
    <t>芮姬</t>
  </si>
  <si>
    <t>关樾</t>
  </si>
  <si>
    <t>星张春华</t>
  </si>
  <si>
    <t>甘夫人糜夫人</t>
  </si>
  <si>
    <t>孙綝</t>
  </si>
  <si>
    <t>苏越</t>
  </si>
  <si>
    <t>谋曹昂</t>
  </si>
  <si>
    <t>徐妏</t>
  </si>
  <si>
    <t>张嫙</t>
  </si>
  <si>
    <t>黄承彦</t>
  </si>
  <si>
    <t>蒲元</t>
  </si>
  <si>
    <t>王濬</t>
  </si>
  <si>
    <t>谋诸葛瑾</t>
  </si>
  <si>
    <t>谋鲁肃</t>
  </si>
  <si>
    <t>杨彪</t>
  </si>
  <si>
    <t>孟达</t>
  </si>
  <si>
    <t>神张角</t>
  </si>
  <si>
    <t>胡班</t>
  </si>
  <si>
    <t>周善</t>
  </si>
  <si>
    <t>杜夔</t>
  </si>
  <si>
    <t>阎象</t>
  </si>
  <si>
    <t>威董卓</t>
  </si>
  <si>
    <t>谋胡烈</t>
  </si>
  <si>
    <t>谋蒋干</t>
  </si>
  <si>
    <t>阮籍</t>
  </si>
  <si>
    <t>T4</t>
  </si>
  <si>
    <t>陈泰</t>
  </si>
  <si>
    <t>陈式</t>
  </si>
  <si>
    <t>莫琼树</t>
  </si>
  <si>
    <t>骆统</t>
  </si>
  <si>
    <t>曹媛</t>
  </si>
  <si>
    <t>曹髦</t>
  </si>
  <si>
    <t>官阶</t>
  </si>
  <si>
    <t>前将军，80000帅点</t>
  </si>
  <si>
    <t>王昶</t>
  </si>
  <si>
    <t>吕据</t>
  </si>
  <si>
    <t>侯成</t>
  </si>
  <si>
    <t>苏飞</t>
  </si>
  <si>
    <t>谋陈琳</t>
  </si>
  <si>
    <t>神邓艾</t>
  </si>
  <si>
    <t>牛辅</t>
  </si>
  <si>
    <t>谋沮授</t>
  </si>
  <si>
    <t>董昭</t>
  </si>
  <si>
    <t>滕公主</t>
  </si>
  <si>
    <t>张奋</t>
  </si>
  <si>
    <t>张怀</t>
  </si>
  <si>
    <t>周夷</t>
  </si>
  <si>
    <t>赵俨</t>
  </si>
  <si>
    <t>刘永</t>
  </si>
  <si>
    <t>谋曹爽</t>
  </si>
  <si>
    <t>赵襄</t>
  </si>
  <si>
    <t>南华老仙</t>
  </si>
  <si>
    <t>孙霸</t>
  </si>
  <si>
    <t>界凌统</t>
  </si>
  <si>
    <t xml:space="preserve">将星招募	</t>
  </si>
  <si>
    <t>破界石*3</t>
  </si>
  <si>
    <t>20将符</t>
  </si>
  <si>
    <t>樊玉凤</t>
  </si>
  <si>
    <t>星董卓</t>
  </si>
  <si>
    <t>谋典韦</t>
  </si>
  <si>
    <t>乐邹氏</t>
  </si>
  <si>
    <t>杨弘</t>
  </si>
  <si>
    <t>王烈</t>
  </si>
  <si>
    <t>庞会</t>
  </si>
  <si>
    <t>傅肜傅佥</t>
  </si>
  <si>
    <t>谋法正</t>
  </si>
  <si>
    <t>星法正</t>
  </si>
  <si>
    <t>乐周瑜</t>
  </si>
  <si>
    <t>郑浑</t>
  </si>
  <si>
    <t>曹华</t>
  </si>
  <si>
    <t>韩嵩</t>
  </si>
  <si>
    <t>马伶俐</t>
  </si>
  <si>
    <t>星袁术</t>
  </si>
  <si>
    <t>曹婴</t>
  </si>
  <si>
    <t>陆凯</t>
  </si>
  <si>
    <t>郭照</t>
  </si>
  <si>
    <t>吴普</t>
  </si>
  <si>
    <t>吕玲绮</t>
  </si>
  <si>
    <t>胡金定</t>
  </si>
  <si>
    <t>冯方</t>
  </si>
  <si>
    <t>胡昭</t>
  </si>
  <si>
    <t>乐诸葛果</t>
  </si>
  <si>
    <t>霍峻</t>
  </si>
  <si>
    <t>宣公主</t>
  </si>
  <si>
    <t>朱铄</t>
  </si>
  <si>
    <t>星丁奉</t>
  </si>
  <si>
    <t>T5</t>
  </si>
  <si>
    <t>谋黄盖</t>
  </si>
  <si>
    <t>免费</t>
  </si>
  <si>
    <t>裴元绍</t>
  </si>
  <si>
    <t>张媱</t>
  </si>
  <si>
    <t>庞德公</t>
  </si>
  <si>
    <t>严夫人</t>
  </si>
  <si>
    <t>新手特惠68</t>
  </si>
  <si>
    <t>袁谭袁尚袁熙</t>
  </si>
  <si>
    <t>桓范</t>
  </si>
  <si>
    <t>谋周瑜</t>
  </si>
  <si>
    <t>潘淑</t>
  </si>
  <si>
    <t>星荀彧</t>
  </si>
  <si>
    <t>界张松</t>
  </si>
  <si>
    <t>60将符</t>
  </si>
  <si>
    <t>柳婒</t>
  </si>
  <si>
    <t>赵昂</t>
  </si>
  <si>
    <t>郤正</t>
  </si>
  <si>
    <t>赵嫣</t>
  </si>
  <si>
    <t>董绾</t>
  </si>
  <si>
    <t>神姜维</t>
  </si>
  <si>
    <t>前将军，130000帅点</t>
  </si>
  <si>
    <t>赵直</t>
  </si>
  <si>
    <t>清河公主</t>
  </si>
  <si>
    <t>马钧</t>
  </si>
  <si>
    <t>诸葛尚</t>
  </si>
  <si>
    <t>李异谢旌</t>
  </si>
  <si>
    <t>向朗</t>
  </si>
  <si>
    <t>文鸳</t>
  </si>
  <si>
    <t>孟节</t>
  </si>
  <si>
    <t>张瑾云</t>
  </si>
  <si>
    <t>界曹叡</t>
  </si>
  <si>
    <t>杨仪</t>
  </si>
  <si>
    <t>尹夫人</t>
  </si>
  <si>
    <t>神甘宁</t>
  </si>
  <si>
    <t>曹纯</t>
  </si>
  <si>
    <t>乐蔡邕</t>
  </si>
  <si>
    <t>夏侯杰</t>
  </si>
  <si>
    <t>刘巴</t>
  </si>
  <si>
    <t>谋关平</t>
  </si>
  <si>
    <t>朱佩兰</t>
  </si>
  <si>
    <t>羊祜</t>
  </si>
  <si>
    <t>董贵人</t>
  </si>
  <si>
    <t>乐大乔</t>
  </si>
  <si>
    <t>曹安民</t>
  </si>
  <si>
    <t>秦朗</t>
  </si>
  <si>
    <t>星袁绍</t>
  </si>
  <si>
    <t>SP祝融</t>
  </si>
  <si>
    <t>星孙坚</t>
  </si>
  <si>
    <t>界SP黄月英</t>
  </si>
  <si>
    <t>36个巅峰宝珠</t>
  </si>
  <si>
    <t>杨婉</t>
  </si>
  <si>
    <t>是仪</t>
  </si>
  <si>
    <t>管亥</t>
  </si>
  <si>
    <t>赵统赵广</t>
  </si>
  <si>
    <t>孙翎鸾</t>
  </si>
  <si>
    <t>魏关羽</t>
  </si>
  <si>
    <t>充值奖励</t>
  </si>
  <si>
    <t>阮瑀</t>
  </si>
  <si>
    <t>丁原</t>
  </si>
  <si>
    <t>全惠解</t>
  </si>
  <si>
    <t>胡遵</t>
  </si>
  <si>
    <t>万年公主</t>
  </si>
  <si>
    <t>马腾</t>
  </si>
  <si>
    <t>SP贾诩</t>
  </si>
  <si>
    <t>田尚衣</t>
  </si>
  <si>
    <t>界法正</t>
  </si>
  <si>
    <t>界文聘</t>
  </si>
  <si>
    <t>杜预</t>
  </si>
  <si>
    <t>界马忠</t>
  </si>
  <si>
    <t>48个巅峰宝珠</t>
  </si>
  <si>
    <t>邓芝</t>
  </si>
  <si>
    <t>张横</t>
  </si>
  <si>
    <t>公会商店</t>
  </si>
  <si>
    <t>卞喜</t>
  </si>
  <si>
    <t>谯周</t>
  </si>
  <si>
    <t>董翓</t>
  </si>
  <si>
    <t>公孙度</t>
  </si>
  <si>
    <t>孙礼</t>
  </si>
  <si>
    <t>界吴懿</t>
  </si>
  <si>
    <t>sp孟获</t>
  </si>
  <si>
    <t>谢灵毓</t>
  </si>
  <si>
    <t>孙桓</t>
  </si>
  <si>
    <t>界陈群</t>
  </si>
  <si>
    <t>李傕</t>
  </si>
  <si>
    <t>黄权</t>
  </si>
  <si>
    <t>袁姬</t>
  </si>
  <si>
    <t>界王异</t>
  </si>
  <si>
    <t>活跃活动</t>
  </si>
  <si>
    <t>段巧笑</t>
  </si>
  <si>
    <t>神陆逊</t>
  </si>
  <si>
    <t>界钟会</t>
  </si>
  <si>
    <t>星孙尚香</t>
  </si>
  <si>
    <t>陆绩</t>
  </si>
  <si>
    <t>基本免费可以招募出来</t>
  </si>
  <si>
    <t>葛玄</t>
  </si>
  <si>
    <t>界曹真</t>
  </si>
  <si>
    <t>招募</t>
  </si>
  <si>
    <t>何晏</t>
  </si>
  <si>
    <t>界钟繇</t>
  </si>
  <si>
    <t>界朱然</t>
  </si>
  <si>
    <t>向宠</t>
  </si>
  <si>
    <t>神典韦</t>
  </si>
  <si>
    <t>周年庆</t>
  </si>
  <si>
    <t>凌烈</t>
  </si>
  <si>
    <t>马邈</t>
  </si>
  <si>
    <t>崔烈</t>
  </si>
  <si>
    <t>谋吕蒙</t>
  </si>
  <si>
    <t>谋庞统</t>
  </si>
  <si>
    <t>星文丑</t>
  </si>
  <si>
    <t>马铁</t>
  </si>
  <si>
    <t>吉邈吉穆</t>
  </si>
  <si>
    <t>董絮</t>
  </si>
  <si>
    <t>崔令仪</t>
  </si>
  <si>
    <t>星太史慈</t>
  </si>
  <si>
    <t>谋淳于琼</t>
  </si>
  <si>
    <t>陶璜</t>
  </si>
  <si>
    <t>张燕</t>
  </si>
  <si>
    <t>伍孚</t>
  </si>
  <si>
    <t>星颜良</t>
  </si>
  <si>
    <t>裴秀</t>
  </si>
  <si>
    <t>星蒋琬</t>
  </si>
  <si>
    <t>谋朱然</t>
  </si>
  <si>
    <t>刘懿君</t>
  </si>
  <si>
    <t>星张郃</t>
  </si>
  <si>
    <t>田畴</t>
  </si>
  <si>
    <t>威马超</t>
  </si>
  <si>
    <t>威孙策</t>
  </si>
  <si>
    <t>威孙尚香</t>
  </si>
  <si>
    <t>谋刘协</t>
  </si>
  <si>
    <t>谋吴懿</t>
  </si>
  <si>
    <t>魏讽</t>
  </si>
  <si>
    <t>孙寒华</t>
  </si>
  <si>
    <t>T6</t>
  </si>
  <si>
    <t>诸葛梦雪</t>
  </si>
  <si>
    <t>张闿</t>
  </si>
  <si>
    <t>陈登</t>
  </si>
  <si>
    <t>桥蕤</t>
  </si>
  <si>
    <t>荀谌</t>
  </si>
  <si>
    <t>庞山民</t>
  </si>
  <si>
    <t>谋胡车儿</t>
  </si>
  <si>
    <t>陈矫</t>
  </si>
  <si>
    <t>sp孙策</t>
  </si>
  <si>
    <t>程秉</t>
  </si>
  <si>
    <t>界孙休</t>
  </si>
  <si>
    <t>刘辟</t>
  </si>
  <si>
    <t>界朱治</t>
  </si>
  <si>
    <t>星张昭</t>
  </si>
  <si>
    <t>卞玥</t>
  </si>
  <si>
    <t>郝萌</t>
  </si>
  <si>
    <t>徐馨</t>
  </si>
  <si>
    <t>刘理</t>
  </si>
  <si>
    <t>界顾雍</t>
  </si>
  <si>
    <t>界陈宫</t>
  </si>
  <si>
    <t>乐綝</t>
  </si>
  <si>
    <t>界公孙瓒</t>
  </si>
  <si>
    <t>诸葛若雪</t>
  </si>
  <si>
    <t>孙茹</t>
  </si>
  <si>
    <t>文鸯</t>
  </si>
  <si>
    <t>李傕郭汜</t>
  </si>
  <si>
    <t>张翼</t>
  </si>
  <si>
    <t>许攸</t>
  </si>
  <si>
    <t>曹昂</t>
  </si>
  <si>
    <t>界郭皇后</t>
  </si>
  <si>
    <t>童渊</t>
  </si>
  <si>
    <t>曹嵩</t>
  </si>
  <si>
    <t>朱治</t>
  </si>
  <si>
    <t>令狐愚</t>
  </si>
  <si>
    <t>韩龙</t>
  </si>
  <si>
    <t>神诸葛亮</t>
  </si>
  <si>
    <t>戏志才</t>
  </si>
  <si>
    <t>界孙登</t>
  </si>
  <si>
    <t>神赵云</t>
  </si>
  <si>
    <t>界韩当</t>
  </si>
  <si>
    <t>乐周妃</t>
  </si>
  <si>
    <t>轲比能</t>
  </si>
  <si>
    <t>阎柔</t>
  </si>
  <si>
    <t>郝昭</t>
  </si>
  <si>
    <t>乐就</t>
  </si>
  <si>
    <t>淳于琼</t>
  </si>
  <si>
    <t>界杜畿</t>
  </si>
  <si>
    <t>刘辩</t>
  </si>
  <si>
    <t>诸葛瞻</t>
  </si>
  <si>
    <t>界刘封</t>
  </si>
  <si>
    <t>曹叡</t>
  </si>
  <si>
    <t>界满宠</t>
  </si>
  <si>
    <t>潘凤</t>
  </si>
  <si>
    <t>孙狼</t>
  </si>
  <si>
    <t>梁兴</t>
  </si>
  <si>
    <t>沙摩柯</t>
  </si>
  <si>
    <t>黄祖</t>
  </si>
  <si>
    <t>陈琳</t>
  </si>
  <si>
    <t>皇甫嵩</t>
  </si>
  <si>
    <t>孙瑜</t>
  </si>
  <si>
    <t>韩遂</t>
  </si>
  <si>
    <t>张虎</t>
  </si>
  <si>
    <t>界孙权</t>
  </si>
  <si>
    <t>赵忠</t>
  </si>
  <si>
    <t>马云騄</t>
  </si>
  <si>
    <t>关索</t>
  </si>
  <si>
    <t>界公孙渊</t>
  </si>
  <si>
    <t>胡车儿</t>
  </si>
  <si>
    <t>界朱桓</t>
  </si>
  <si>
    <t>T7</t>
  </si>
  <si>
    <t>吴班</t>
  </si>
  <si>
    <t>张绣</t>
  </si>
  <si>
    <t>界张嶷</t>
  </si>
  <si>
    <t>界徐庶</t>
  </si>
  <si>
    <t>司马徽</t>
  </si>
  <si>
    <t>界SP太史慈</t>
  </si>
  <si>
    <t>神吕蒙</t>
  </si>
  <si>
    <t>界关平</t>
  </si>
  <si>
    <t>界沮授</t>
  </si>
  <si>
    <t>谋王凌</t>
  </si>
  <si>
    <t>程昱</t>
  </si>
  <si>
    <t>张昌蒲</t>
  </si>
  <si>
    <t>唐姬</t>
  </si>
  <si>
    <t>刘宏</t>
  </si>
  <si>
    <t>界于禁</t>
  </si>
  <si>
    <t>星张让</t>
  </si>
  <si>
    <t>界曹休</t>
  </si>
  <si>
    <t>界吕布</t>
  </si>
  <si>
    <t>曹仁</t>
  </si>
  <si>
    <t>界李儒</t>
  </si>
  <si>
    <t>雷铜</t>
  </si>
  <si>
    <t>张温</t>
  </si>
  <si>
    <t>界张辽</t>
  </si>
  <si>
    <t>张楚</t>
  </si>
  <si>
    <t>华歆</t>
  </si>
  <si>
    <t>武安国</t>
  </si>
  <si>
    <t>刘琦</t>
  </si>
  <si>
    <t>鲍三娘</t>
  </si>
  <si>
    <t>夏侯令女</t>
  </si>
  <si>
    <t>界全琮</t>
  </si>
  <si>
    <t>滕胤</t>
  </si>
  <si>
    <t>高览</t>
  </si>
  <si>
    <t>界郭图逢纪</t>
  </si>
  <si>
    <t>辛宪英</t>
  </si>
  <si>
    <t>王荣</t>
  </si>
  <si>
    <t>界孙尚香</t>
  </si>
  <si>
    <t>董允</t>
  </si>
  <si>
    <t>雷薄</t>
  </si>
  <si>
    <t>界荀攸</t>
  </si>
  <si>
    <t>唐咨</t>
  </si>
  <si>
    <t>花鬘</t>
  </si>
  <si>
    <t>界关羽</t>
  </si>
  <si>
    <t>界诸葛诞</t>
  </si>
  <si>
    <t>蒋干</t>
  </si>
  <si>
    <t>界简雍</t>
  </si>
  <si>
    <t>周泰</t>
  </si>
  <si>
    <t>张宁</t>
  </si>
  <si>
    <t>陆抗</t>
  </si>
  <si>
    <t>群赵云</t>
  </si>
  <si>
    <t>牛金</t>
  </si>
  <si>
    <t>张济</t>
  </si>
  <si>
    <t>朱桓</t>
  </si>
  <si>
    <t>界大乔</t>
  </si>
  <si>
    <t>李婉</t>
  </si>
  <si>
    <t>伊籍</t>
  </si>
  <si>
    <t>界周仓</t>
  </si>
  <si>
    <t>马日磾</t>
  </si>
  <si>
    <t>糜芳傅士仁</t>
  </si>
  <si>
    <t>界张飞</t>
  </si>
  <si>
    <t>界黄盖</t>
  </si>
  <si>
    <t>杜夫人</t>
  </si>
  <si>
    <t>界高顺</t>
  </si>
  <si>
    <t>钟繇</t>
  </si>
  <si>
    <t>黄忠</t>
  </si>
  <si>
    <t>吕旷吕翔</t>
  </si>
  <si>
    <t>界步练师</t>
  </si>
  <si>
    <t>界郭嘉</t>
  </si>
  <si>
    <t>韩馥</t>
  </si>
  <si>
    <t>夏侯楙</t>
  </si>
  <si>
    <t>刘封</t>
  </si>
  <si>
    <t>界刘谌</t>
  </si>
  <si>
    <t>界马岱</t>
  </si>
  <si>
    <t>士燮</t>
  </si>
  <si>
    <t>段煨</t>
  </si>
  <si>
    <t>糜竺</t>
  </si>
  <si>
    <t>伏完</t>
  </si>
  <si>
    <t>谋程昱</t>
  </si>
  <si>
    <t>秦宓</t>
  </si>
  <si>
    <t>张辽</t>
  </si>
  <si>
    <t>公孙修</t>
  </si>
  <si>
    <t>糜夫人</t>
  </si>
  <si>
    <t>管辂</t>
  </si>
  <si>
    <t>樊稠</t>
  </si>
  <si>
    <t>穆顺</t>
  </si>
  <si>
    <t>吕岱</t>
  </si>
  <si>
    <t>丁奉</t>
  </si>
  <si>
    <t>蒋钦</t>
  </si>
  <si>
    <t>王平</t>
  </si>
  <si>
    <t>周鲂</t>
  </si>
  <si>
    <t>张鲁</t>
  </si>
  <si>
    <t>孙策</t>
  </si>
  <si>
    <t>界貂蝉</t>
  </si>
  <si>
    <t>司马孚</t>
  </si>
  <si>
    <t>吴兰</t>
  </si>
  <si>
    <t>T8</t>
  </si>
  <si>
    <t>界刘备</t>
  </si>
  <si>
    <t>界华雄</t>
  </si>
  <si>
    <t>群马超</t>
  </si>
  <si>
    <t>吉平</t>
  </si>
  <si>
    <t>界郭淮</t>
  </si>
  <si>
    <t>蒯祺</t>
  </si>
  <si>
    <t>刘协</t>
  </si>
  <si>
    <t>界夏侯惇</t>
  </si>
  <si>
    <t>徐晃</t>
  </si>
  <si>
    <t>张勋</t>
  </si>
  <si>
    <t>界司马懿</t>
  </si>
  <si>
    <t>界徐盛</t>
  </si>
  <si>
    <t>界曹操</t>
  </si>
  <si>
    <t>乐进</t>
  </si>
  <si>
    <t>魏姜维</t>
  </si>
  <si>
    <t>严畯</t>
  </si>
  <si>
    <t>曹性</t>
  </si>
  <si>
    <t>神司马懿</t>
  </si>
  <si>
    <t>张松</t>
  </si>
  <si>
    <t>王双</t>
  </si>
  <si>
    <t>朱灵</t>
  </si>
  <si>
    <t>王威</t>
  </si>
  <si>
    <t>诸葛恪</t>
  </si>
  <si>
    <t>辛毗</t>
  </si>
  <si>
    <t>岑昏</t>
  </si>
  <si>
    <t>界曹冲</t>
  </si>
  <si>
    <t>李儒</t>
  </si>
  <si>
    <t>界廖化</t>
  </si>
  <si>
    <t>界虞翻</t>
  </si>
  <si>
    <t>李采薇</t>
  </si>
  <si>
    <t>沮授</t>
  </si>
  <si>
    <t>费曜</t>
  </si>
  <si>
    <t>步练师</t>
  </si>
  <si>
    <t>吕凯</t>
  </si>
  <si>
    <t>邢道荣</t>
  </si>
  <si>
    <t>曹冲</t>
  </si>
  <si>
    <t>兀突骨</t>
  </si>
  <si>
    <t>黄皓</t>
  </si>
  <si>
    <t>陈群</t>
  </si>
  <si>
    <t>刘禅</t>
  </si>
  <si>
    <t>郭汜</t>
  </si>
  <si>
    <t>貂蝉</t>
  </si>
  <si>
    <t>灵雎</t>
  </si>
  <si>
    <t>姜维</t>
  </si>
  <si>
    <t>界蔡夫人</t>
  </si>
  <si>
    <t>马岱</t>
  </si>
  <si>
    <t>孙皓</t>
  </si>
  <si>
    <t>界曹植</t>
  </si>
  <si>
    <t>卑弥呼</t>
  </si>
  <si>
    <t>董承</t>
  </si>
  <si>
    <t>刘徽</t>
  </si>
  <si>
    <t>郭嘉</t>
  </si>
  <si>
    <t>界曹彰</t>
  </si>
  <si>
    <t>李典</t>
  </si>
  <si>
    <t>界甄姬</t>
  </si>
  <si>
    <t>界伏皇后</t>
  </si>
  <si>
    <t>蔡阳</t>
  </si>
  <si>
    <t>王异</t>
  </si>
  <si>
    <t>来莺儿</t>
  </si>
  <si>
    <t>界程普</t>
  </si>
  <si>
    <t>界马谡</t>
  </si>
  <si>
    <t>司马懿</t>
  </si>
  <si>
    <t>界赵云</t>
  </si>
  <si>
    <t>界马超</t>
  </si>
  <si>
    <t>界华佗</t>
  </si>
  <si>
    <t>界许褚</t>
  </si>
  <si>
    <t>吕范</t>
  </si>
  <si>
    <t>朱儁</t>
  </si>
  <si>
    <t>丘力居</t>
  </si>
  <si>
    <t>徐氏</t>
  </si>
  <si>
    <t>刘焉</t>
  </si>
  <si>
    <t>冯熙</t>
  </si>
  <si>
    <t>陆郁生</t>
  </si>
  <si>
    <t>徐琨</t>
  </si>
  <si>
    <t>严颜</t>
  </si>
  <si>
    <t>陶谦</t>
  </si>
  <si>
    <t>蒋琬费祎</t>
  </si>
  <si>
    <t>庞德</t>
  </si>
  <si>
    <t>麴义</t>
  </si>
  <si>
    <t>严白虎</t>
  </si>
  <si>
    <t>小乔</t>
  </si>
  <si>
    <t>孙资刘放</t>
  </si>
  <si>
    <t>甄姬</t>
  </si>
  <si>
    <t>曹节</t>
  </si>
  <si>
    <t>界甘宁</t>
  </si>
  <si>
    <t>张邈</t>
  </si>
  <si>
    <t>鲁肃</t>
  </si>
  <si>
    <t>忙牙长</t>
  </si>
  <si>
    <t>界诸葛亮</t>
  </si>
  <si>
    <t>宗预</t>
  </si>
  <si>
    <t>界夏侯氏</t>
  </si>
  <si>
    <t>孙登</t>
  </si>
  <si>
    <t>界关兴张苞</t>
  </si>
  <si>
    <t>界刘表</t>
  </si>
  <si>
    <t>孙鲁育</t>
  </si>
  <si>
    <t>界黄月英</t>
  </si>
  <si>
    <t>杨修</t>
  </si>
  <si>
    <t>蔡瑁张允</t>
  </si>
  <si>
    <t>刘备</t>
  </si>
  <si>
    <t>荀彧</t>
  </si>
  <si>
    <t>臧霸</t>
  </si>
  <si>
    <t>李严</t>
  </si>
  <si>
    <t>界韩浩史涣</t>
  </si>
  <si>
    <t>夏侯霸</t>
  </si>
  <si>
    <t>吴庞统</t>
  </si>
  <si>
    <t>凌统</t>
  </si>
  <si>
    <t>张恭</t>
  </si>
  <si>
    <t>神周瑜</t>
  </si>
  <si>
    <t>界吴国太</t>
  </si>
  <si>
    <t>陈到</t>
  </si>
  <si>
    <t>诸葛果</t>
  </si>
  <si>
    <t>周仓</t>
  </si>
  <si>
    <t>张星彩</t>
  </si>
  <si>
    <t>界周瑜</t>
  </si>
  <si>
    <t>何进</t>
  </si>
  <si>
    <t>神张辽</t>
  </si>
  <si>
    <t>孙坚</t>
  </si>
  <si>
    <t>蔡文姬</t>
  </si>
  <si>
    <t>高翔</t>
  </si>
  <si>
    <t>徐盛</t>
  </si>
  <si>
    <t>T9</t>
  </si>
  <si>
    <t>邓艾</t>
  </si>
  <si>
    <t>袁术</t>
  </si>
  <si>
    <t>张角</t>
  </si>
  <si>
    <t>界孙鲁班</t>
  </si>
  <si>
    <t>张让</t>
  </si>
  <si>
    <t>董卓</t>
  </si>
  <si>
    <t>钟会</t>
  </si>
  <si>
    <t>秦宜禄</t>
  </si>
  <si>
    <t>神刘备</t>
  </si>
  <si>
    <t>魏延</t>
  </si>
  <si>
    <t>许贡</t>
  </si>
  <si>
    <t>孙乾</t>
  </si>
  <si>
    <t>刘谌</t>
  </si>
  <si>
    <t>虞翻</t>
  </si>
  <si>
    <t>纪灵</t>
  </si>
  <si>
    <t>法正</t>
  </si>
  <si>
    <t>李肃</t>
  </si>
  <si>
    <t>郭淮</t>
  </si>
  <si>
    <t>吕虔</t>
  </si>
  <si>
    <t>祢衡</t>
  </si>
  <si>
    <t>关平</t>
  </si>
  <si>
    <t>界陆逊</t>
  </si>
  <si>
    <t>王粲</t>
  </si>
  <si>
    <t>界潘璋马忠</t>
  </si>
  <si>
    <t>王桃</t>
  </si>
  <si>
    <t>祖茂</t>
  </si>
  <si>
    <t>吴懿</t>
  </si>
  <si>
    <t>大乔小乔</t>
  </si>
  <si>
    <t>荀攸</t>
  </si>
  <si>
    <t>蜀徐庶</t>
  </si>
  <si>
    <t>孔融</t>
  </si>
  <si>
    <t>庞统</t>
  </si>
  <si>
    <t>潘濬</t>
  </si>
  <si>
    <t>陈宫</t>
  </si>
  <si>
    <t>贺齐</t>
  </si>
  <si>
    <t>曹洪</t>
  </si>
  <si>
    <t>张昭张纮</t>
  </si>
  <si>
    <t>界张春华</t>
  </si>
  <si>
    <t>华佗</t>
  </si>
  <si>
    <t>步骘</t>
  </si>
  <si>
    <t>公孙渊</t>
  </si>
  <si>
    <t>甘夫人</t>
  </si>
  <si>
    <t>王基</t>
  </si>
  <si>
    <t>张宝</t>
  </si>
  <si>
    <t>阚泽</t>
  </si>
  <si>
    <t>谋蒋济</t>
  </si>
  <si>
    <t>魏庞德</t>
  </si>
  <si>
    <t>吴苋</t>
  </si>
  <si>
    <t>蒯良蒯越</t>
  </si>
  <si>
    <t>祝融</t>
  </si>
  <si>
    <t>徐庶</t>
  </si>
  <si>
    <t>孙权</t>
  </si>
  <si>
    <t>大乔</t>
  </si>
  <si>
    <t>孙尚香</t>
  </si>
  <si>
    <t>伏皇后</t>
  </si>
  <si>
    <t>卞夫人</t>
  </si>
  <si>
    <t>董白</t>
  </si>
  <si>
    <t>关兴张苞</t>
  </si>
  <si>
    <t>贾诩</t>
  </si>
  <si>
    <t>曹休</t>
  </si>
  <si>
    <t>蜀孙尚香</t>
  </si>
  <si>
    <t>夏侯惇</t>
  </si>
  <si>
    <t>廖化</t>
  </si>
  <si>
    <t>满宠</t>
  </si>
  <si>
    <t>关银屏</t>
  </si>
  <si>
    <t>黄月英</t>
  </si>
  <si>
    <t>群太史慈</t>
  </si>
  <si>
    <t>刘虞</t>
  </si>
  <si>
    <t>张春华</t>
  </si>
  <si>
    <t>高顺</t>
  </si>
  <si>
    <t>诸葛瑾</t>
  </si>
  <si>
    <t>崔琰毛玠</t>
  </si>
  <si>
    <t>诸葛亮</t>
  </si>
  <si>
    <t>孙休</t>
  </si>
  <si>
    <t>陈武董袭</t>
  </si>
  <si>
    <t>吕布</t>
  </si>
  <si>
    <t>司马朗</t>
  </si>
  <si>
    <t>韩浩史涣</t>
  </si>
  <si>
    <t>典韦</t>
  </si>
  <si>
    <t>颜良文丑</t>
  </si>
  <si>
    <t>于禁</t>
  </si>
  <si>
    <t>曹丕</t>
  </si>
  <si>
    <t>文聘</t>
  </si>
  <si>
    <t>神吕布</t>
  </si>
  <si>
    <t>杜畿</t>
  </si>
  <si>
    <t>刘表</t>
  </si>
  <si>
    <t>孟获</t>
  </si>
  <si>
    <t>曹植</t>
  </si>
  <si>
    <t>群黄月英</t>
  </si>
  <si>
    <t>神关羽</t>
  </si>
  <si>
    <t>夏侯氏</t>
  </si>
  <si>
    <t>卧龙诸葛</t>
  </si>
  <si>
    <t>张郃</t>
  </si>
  <si>
    <t>马超</t>
  </si>
  <si>
    <t>曹操</t>
  </si>
  <si>
    <t>魏蔡文姬</t>
  </si>
  <si>
    <t>简雍</t>
  </si>
  <si>
    <t>曹真</t>
  </si>
  <si>
    <t>刘繇</t>
  </si>
  <si>
    <t>诸葛诞</t>
  </si>
  <si>
    <t>周妃</t>
  </si>
  <si>
    <t>全琮</t>
  </si>
  <si>
    <t>吴国太</t>
  </si>
  <si>
    <t>张嶷</t>
  </si>
  <si>
    <t>邹氏</t>
  </si>
  <si>
    <t>陆逊</t>
  </si>
  <si>
    <t>刘宠骆俊</t>
  </si>
  <si>
    <t>顾雍</t>
  </si>
  <si>
    <t>潘璋马忠</t>
  </si>
  <si>
    <t>界吕蒙</t>
  </si>
  <si>
    <t>神曹操</t>
  </si>
  <si>
    <t>于吉</t>
  </si>
  <si>
    <t>蔡夫人</t>
  </si>
  <si>
    <t>公孙瓒</t>
  </si>
  <si>
    <t>太史慈</t>
  </si>
  <si>
    <t>韩当</t>
  </si>
  <si>
    <t>周瑜</t>
  </si>
  <si>
    <t>薛综</t>
  </si>
  <si>
    <t>赵云</t>
  </si>
  <si>
    <t>夏侯渊</t>
  </si>
  <si>
    <t>T10</t>
  </si>
  <si>
    <t>毌丘俭</t>
  </si>
  <si>
    <t>华雄</t>
  </si>
  <si>
    <t>蔡邕</t>
  </si>
  <si>
    <t>袁绍</t>
  </si>
  <si>
    <t>张飞</t>
  </si>
  <si>
    <t>郭图逢纪</t>
  </si>
  <si>
    <t>王允</t>
  </si>
  <si>
    <t>孙鲁班</t>
  </si>
  <si>
    <t>何太后</t>
  </si>
  <si>
    <t>王悦</t>
  </si>
  <si>
    <t>田丰</t>
  </si>
  <si>
    <t>卫温诸葛直</t>
  </si>
  <si>
    <t>黄盖</t>
  </si>
  <si>
    <t>朱然</t>
  </si>
  <si>
    <t>马谡</t>
  </si>
  <si>
    <t>马忠</t>
  </si>
  <si>
    <t>甘宁</t>
  </si>
  <si>
    <t>蹋顿</t>
  </si>
  <si>
    <t>吕蒙</t>
  </si>
  <si>
    <t>许褚</t>
  </si>
  <si>
    <t>卢植</t>
  </si>
  <si>
    <t>张梁</t>
  </si>
  <si>
    <t>程普</t>
  </si>
  <si>
    <t>孙亮</t>
  </si>
  <si>
    <t>曹彰</t>
  </si>
  <si>
    <t>张任</t>
  </si>
  <si>
    <t>郭皇后</t>
  </si>
  <si>
    <t>车胄</t>
  </si>
  <si>
    <t>关羽</t>
  </si>
  <si>
    <t>威张星彩·体验</t>
  </si>
  <si>
    <t>谋关羽·体验</t>
  </si>
  <si>
    <t>威公孙瓒</t>
  </si>
  <si>
    <t>乐曹植·体验</t>
  </si>
  <si>
    <t>陈祗·体验</t>
  </si>
  <si>
    <t>谋张任·体验</t>
  </si>
  <si>
    <t>侯昭宁</t>
  </si>
  <si>
    <t>邓晚棠·体验</t>
  </si>
  <si>
    <t>刘璿·体验</t>
  </si>
  <si>
    <t>袁术二号</t>
  </si>
  <si>
    <t>袁术一号</t>
  </si>
  <si>
    <t>张世平·体验</t>
  </si>
  <si>
    <t>勘律荀勖</t>
  </si>
  <si>
    <t>曹豹</t>
  </si>
  <si>
    <t>史阿</t>
  </si>
  <si>
    <t>王越</t>
  </si>
  <si>
    <t>笛音荀勖</t>
  </si>
  <si>
    <t>武将名称（备注用</t>
  </si>
  <si>
    <t>武将唯一ID</t>
  </si>
  <si>
    <t>获取途径id</t>
  </si>
  <si>
    <t>获取途径</t>
  </si>
  <si>
    <t>SP马超</t>
  </si>
  <si>
    <t>SP赵云</t>
  </si>
  <si>
    <t>SP关羽</t>
  </si>
  <si>
    <t>SP甄姬</t>
  </si>
  <si>
    <t>武将道具唯一ID</t>
  </si>
  <si>
    <t>武将名称</t>
  </si>
  <si>
    <t>道具类型</t>
  </si>
  <si>
    <t>武将ID</t>
  </si>
  <si>
    <t>武将分级</t>
  </si>
  <si>
    <t>武将</t>
  </si>
  <si>
    <t>左慈</t>
  </si>
  <si>
    <t>武陆抗</t>
  </si>
  <si>
    <t>SP孙尚香</t>
  </si>
  <si>
    <t>SP徐庶</t>
  </si>
  <si>
    <t>SP庞统</t>
  </si>
  <si>
    <t>SP庞德</t>
  </si>
  <si>
    <t>SP蔡文姬</t>
  </si>
  <si>
    <t>SP姜维</t>
  </si>
  <si>
    <t>SP黄月英</t>
  </si>
  <si>
    <t>SP太史慈</t>
  </si>
  <si>
    <t>陈祇</t>
  </si>
  <si>
    <t>sp祝融</t>
  </si>
  <si>
    <t>乐曹植</t>
  </si>
  <si>
    <t>界曹节</t>
  </si>
  <si>
    <t>刘璿</t>
  </si>
  <si>
    <t>SP孙策</t>
  </si>
  <si>
    <t>谋关羽</t>
  </si>
  <si>
    <t>星夏侯霸</t>
  </si>
  <si>
    <t>奇巧马钧</t>
  </si>
  <si>
    <t>传械马钧</t>
  </si>
  <si>
    <t>修爵裴秀</t>
  </si>
  <si>
    <t>谋许攸</t>
  </si>
  <si>
    <t>SP蒲元</t>
  </si>
  <si>
    <t>谋卫瓘</t>
  </si>
  <si>
    <t>爻袁术</t>
  </si>
  <si>
    <t>爻于吉</t>
  </si>
  <si>
    <t>谋徐盛</t>
  </si>
  <si>
    <t>邓晚棠</t>
  </si>
  <si>
    <t>李昭仪</t>
  </si>
  <si>
    <t>崔芷</t>
  </si>
  <si>
    <t>张裕</t>
  </si>
  <si>
    <t>张世平</t>
  </si>
  <si>
    <t>威刘备</t>
  </si>
  <si>
    <t>威关银屏</t>
  </si>
  <si>
    <t>威张星彩</t>
  </si>
  <si>
    <t>谋张任</t>
  </si>
  <si>
    <t>谋刘璋</t>
  </si>
  <si>
    <t>星张松</t>
  </si>
  <si>
    <t>纳贤</t>
  </si>
  <si>
    <t>祈福</t>
  </si>
  <si>
    <t>如意签</t>
  </si>
  <si>
    <t>宝玉兑换</t>
  </si>
  <si>
    <t>首充</t>
  </si>
  <si>
    <t>砸蛋</t>
  </si>
  <si>
    <t>累充奖励</t>
  </si>
  <si>
    <t>连连看</t>
  </si>
  <si>
    <t>活跃</t>
  </si>
  <si>
    <t>新人特惠</t>
  </si>
  <si>
    <t>神将任务</t>
  </si>
  <si>
    <t>移动奖励</t>
  </si>
  <si>
    <t>喵喵杀</t>
  </si>
  <si>
    <t>商城礼包</t>
  </si>
  <si>
    <t>武将收集</t>
  </si>
  <si>
    <t>武将名</t>
  </si>
  <si>
    <t>将面分</t>
  </si>
  <si>
    <t>无</t>
  </si>
  <si>
    <t>随机碰运气</t>
  </si>
  <si>
    <t>无双武将</t>
  </si>
  <si>
    <t>60符+破界石*3</t>
  </si>
  <si>
    <t>可以一战：</t>
  </si>
  <si>
    <t>李傕</t>
    <phoneticPr fontId="21" type="noConversion"/>
  </si>
  <si>
    <t>陈式</t>
    <phoneticPr fontId="21" type="noConversion"/>
  </si>
  <si>
    <t>李傕郭汜</t>
    <phoneticPr fontId="21" type="noConversion"/>
  </si>
  <si>
    <t>戏志才</t>
    <phoneticPr fontId="21" type="noConversion"/>
  </si>
  <si>
    <t>阎柔</t>
    <phoneticPr fontId="21" type="noConversion"/>
  </si>
  <si>
    <t>刘永</t>
    <phoneticPr fontId="21" type="noConversion"/>
  </si>
  <si>
    <t>胡昭</t>
    <phoneticPr fontId="21" type="noConversion"/>
  </si>
  <si>
    <t>羊祜</t>
    <phoneticPr fontId="21" type="noConversion"/>
  </si>
  <si>
    <t>胡班</t>
    <phoneticPr fontId="21" type="noConversion"/>
  </si>
  <si>
    <t>冯方</t>
    <phoneticPr fontId="21" type="noConversion"/>
  </si>
  <si>
    <t>吴范</t>
    <phoneticPr fontId="21" type="noConversion"/>
  </si>
  <si>
    <t>杜夔</t>
    <phoneticPr fontId="21" type="noConversion"/>
  </si>
  <si>
    <t>黄承彦</t>
    <phoneticPr fontId="21" type="noConversion"/>
  </si>
  <si>
    <t>樊玉凤</t>
    <phoneticPr fontId="21" type="noConversion"/>
  </si>
  <si>
    <t>郭照</t>
    <phoneticPr fontId="21" type="noConversion"/>
  </si>
  <si>
    <t>留赞</t>
    <phoneticPr fontId="21" type="noConversion"/>
  </si>
  <si>
    <t>吕玲绮</t>
    <phoneticPr fontId="21" type="noConversion"/>
  </si>
  <si>
    <t>曹金玉</t>
    <phoneticPr fontId="21" type="noConversion"/>
  </si>
  <si>
    <t>曹宪</t>
    <phoneticPr fontId="21" type="noConversion"/>
  </si>
  <si>
    <t>黄舞蝶</t>
    <phoneticPr fontId="21" type="noConversion"/>
  </si>
  <si>
    <t>诸葛京</t>
    <phoneticPr fontId="21" type="noConversion"/>
  </si>
  <si>
    <t>谋郭嘉</t>
    <phoneticPr fontId="21" type="noConversion"/>
  </si>
  <si>
    <t>乐祢衡</t>
    <phoneticPr fontId="21" type="noConversion"/>
  </si>
  <si>
    <t>神黄忠</t>
    <phoneticPr fontId="21" type="noConversion"/>
  </si>
  <si>
    <t>神钟会</t>
    <phoneticPr fontId="21" type="noConversion"/>
  </si>
  <si>
    <t>价格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</si>
</sst>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3" formatCode="_ * #,##0.00_ ;_ * \-#,##0.00_ ;_ * &quot;-&quot;??_ ;_ @_ "/>
  </numFmts>
  <fonts count="23" x14ac:knownFonts="1">
    <font>
      <sz val="11"/>
      <color theme="1"/>
      <name val="宋体"/>
      <charset val="134"/>
      <scheme val="minor"/>
    </font>
    <font>
      <sz val="11"/>
      <color rgb="FF000000"/>
      <name val="Calibri"/>
      <family val="2"/>
    </font>
    <font>
      <sz val="12"/>
      <color theme="1"/>
      <name val="宋体"/>
      <family val="3"/>
      <charset val="134"/>
      <scheme val="minor"/>
    </font>
    <font>
      <sz val="11"/>
      <color rgb="FF000000"/>
      <name val="宋体"/>
      <family val="3"/>
      <charset val="134"/>
    </font>
    <font>
      <b/>
      <sz val="11"/>
      <color theme="1"/>
      <name val="宋体"/>
      <family val="3"/>
      <charset val="134"/>
      <scheme val="minor"/>
    </font>
    <font>
      <b/>
      <sz val="11"/>
      <color theme="0"/>
      <name val="宋体"/>
      <family val="3"/>
      <charset val="134"/>
    </font>
    <font>
      <b/>
      <sz val="12"/>
      <color theme="0"/>
      <name val="宋体"/>
      <family val="3"/>
      <charset val="134"/>
      <scheme val="minor"/>
    </font>
    <font>
      <b/>
      <sz val="11"/>
      <color theme="0"/>
      <name val="宋体"/>
      <family val="3"/>
      <charset val="134"/>
      <scheme val="minor"/>
    </font>
    <font>
      <b/>
      <sz val="14"/>
      <color theme="1"/>
      <name val="宋体"/>
      <family val="3"/>
      <charset val="134"/>
      <scheme val="minor"/>
    </font>
    <font>
      <b/>
      <sz val="10"/>
      <color rgb="FF000000"/>
      <name val="宋体"/>
      <family val="3"/>
      <charset val="134"/>
    </font>
    <font>
      <sz val="11"/>
      <color theme="1"/>
      <name val="微软雅黑"/>
      <family val="2"/>
      <charset val="134"/>
    </font>
    <font>
      <sz val="10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rgb="FFFF0000"/>
      <name val="微软雅黑"/>
      <family val="2"/>
      <charset val="134"/>
    </font>
    <font>
      <sz val="10"/>
      <color rgb="FF172B4D"/>
      <name val="Segoe UI"/>
      <family val="2"/>
    </font>
    <font>
      <sz val="11"/>
      <color rgb="FF172B4D"/>
      <name val="宋体"/>
      <family val="3"/>
      <charset val="134"/>
    </font>
    <font>
      <sz val="11"/>
      <color rgb="FF172B4D"/>
      <name val="Segoe UI"/>
      <family val="2"/>
    </font>
    <font>
      <sz val="10"/>
      <color rgb="FF172B4D"/>
      <name val="微软雅黑"/>
      <family val="2"/>
      <charset val="134"/>
    </font>
    <font>
      <b/>
      <sz val="10"/>
      <color indexed="8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rgb="FF000000"/>
      <name val="微软雅黑"/>
      <family val="2"/>
      <charset val="134"/>
    </font>
  </fonts>
  <fills count="2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9" tint="0.7993408001953185"/>
        <bgColor indexed="64"/>
      </patternFill>
    </fill>
    <fill>
      <patternFill patternType="solid">
        <fgColor theme="9" tint="0.7993408001953185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9" tint="0.79967650379955446"/>
        <bgColor indexed="64"/>
      </patternFill>
    </fill>
    <fill>
      <patternFill patternType="solid">
        <fgColor theme="9" tint="0.79973754081850645"/>
        <bgColor indexed="64"/>
      </patternFill>
    </fill>
    <fill>
      <patternFill patternType="solid">
        <fgColor theme="9" tint="0.79952391125217448"/>
        <bgColor indexed="64"/>
      </patternFill>
    </fill>
    <fill>
      <patternFill patternType="solid">
        <fgColor theme="9" tint="0.79949339274269848"/>
        <bgColor indexed="64"/>
      </patternFill>
    </fill>
    <fill>
      <patternFill patternType="solid">
        <fgColor theme="9" tint="0.79979857783745845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4" tint="0.39994506668294322"/>
      </bottom>
      <diagonal/>
    </border>
  </borders>
  <cellStyleXfs count="4">
    <xf numFmtId="0" fontId="0" fillId="0" borderId="0">
      <alignment vertical="center"/>
    </xf>
    <xf numFmtId="0" fontId="2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0" fontId="20" fillId="0" borderId="0">
      <alignment vertical="center"/>
    </xf>
  </cellStyleXfs>
  <cellXfs count="80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>
      <alignment vertical="center"/>
    </xf>
    <xf numFmtId="0" fontId="5" fillId="6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0" borderId="0" xfId="0" applyFont="1">
      <alignment vertical="center"/>
    </xf>
    <xf numFmtId="0" fontId="3" fillId="7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1" fillId="10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9" fillId="11" borderId="1" xfId="0" applyFont="1" applyFill="1" applyBorder="1" applyAlignment="1">
      <alignment horizontal="left" vertical="center"/>
    </xf>
    <xf numFmtId="0" fontId="0" fillId="0" borderId="0" xfId="0" applyFill="1" applyAlignment="1">
      <alignment vertical="center"/>
    </xf>
    <xf numFmtId="0" fontId="10" fillId="0" borderId="0" xfId="0" applyFont="1" applyFill="1" applyAlignment="1">
      <alignment vertical="center"/>
    </xf>
    <xf numFmtId="0" fontId="0" fillId="0" borderId="2" xfId="0" applyFill="1" applyBorder="1" applyAlignment="1">
      <alignment vertical="center"/>
    </xf>
    <xf numFmtId="0" fontId="11" fillId="11" borderId="1" xfId="0" applyFont="1" applyFill="1" applyBorder="1" applyAlignment="1">
      <alignment horizontal="center" vertical="center"/>
    </xf>
    <xf numFmtId="0" fontId="11" fillId="0" borderId="0" xfId="0" applyFont="1" applyFill="1" applyAlignment="1">
      <alignment horizontal="center" vertical="center"/>
    </xf>
    <xf numFmtId="0" fontId="12" fillId="0" borderId="0" xfId="0" applyFont="1" applyFill="1" applyAlignment="1">
      <alignment horizontal="center" vertical="center"/>
    </xf>
    <xf numFmtId="0" fontId="13" fillId="0" borderId="0" xfId="0" applyFont="1" applyFill="1" applyAlignment="1">
      <alignment horizontal="center" vertical="center"/>
    </xf>
    <xf numFmtId="0" fontId="14" fillId="0" borderId="0" xfId="0" applyFont="1" applyFill="1" applyAlignment="1">
      <alignment horizontal="center" vertical="center" wrapText="1"/>
    </xf>
    <xf numFmtId="0" fontId="11" fillId="0" borderId="0" xfId="0" applyFont="1" applyFill="1" applyAlignment="1">
      <alignment horizontal="center" vertical="center" wrapText="1"/>
    </xf>
    <xf numFmtId="0" fontId="12" fillId="12" borderId="0" xfId="0" applyFont="1" applyFill="1" applyAlignment="1">
      <alignment horizontal="center" vertical="center"/>
    </xf>
    <xf numFmtId="0" fontId="11" fillId="12" borderId="0" xfId="0" applyFont="1" applyFill="1" applyAlignment="1">
      <alignment horizontal="center" vertical="center"/>
    </xf>
    <xf numFmtId="0" fontId="15" fillId="0" borderId="0" xfId="0" applyFont="1" applyFill="1" applyAlignment="1">
      <alignment horizontal="center" vertical="center"/>
    </xf>
    <xf numFmtId="0" fontId="12" fillId="13" borderId="0" xfId="0" applyFont="1" applyFill="1" applyAlignment="1">
      <alignment horizontal="center" vertical="center"/>
    </xf>
    <xf numFmtId="0" fontId="12" fillId="14" borderId="0" xfId="0" applyFont="1" applyFill="1" applyAlignment="1">
      <alignment horizontal="center" vertical="center"/>
    </xf>
    <xf numFmtId="0" fontId="11" fillId="14" borderId="0" xfId="0" applyFont="1" applyFill="1" applyAlignment="1">
      <alignment horizontal="center" vertical="center"/>
    </xf>
    <xf numFmtId="0" fontId="11" fillId="0" borderId="0" xfId="1" applyFont="1" applyFill="1" applyAlignment="1">
      <alignment horizontal="center" vertical="center"/>
    </xf>
    <xf numFmtId="0" fontId="11" fillId="0" borderId="0" xfId="0" applyFont="1" applyFill="1" applyBorder="1" applyAlignment="1">
      <alignment horizontal="center" vertical="center"/>
    </xf>
    <xf numFmtId="0" fontId="12" fillId="15" borderId="0" xfId="0" applyFont="1" applyFill="1" applyAlignment="1">
      <alignment horizontal="center" vertical="center"/>
    </xf>
    <xf numFmtId="0" fontId="12" fillId="0" borderId="0" xfId="2" applyNumberFormat="1" applyFont="1" applyFill="1" applyAlignment="1">
      <alignment horizontal="center" vertical="center"/>
    </xf>
    <xf numFmtId="0" fontId="16" fillId="0" borderId="0" xfId="0" applyFont="1" applyFill="1" applyAlignment="1">
      <alignment horizontal="center" vertical="center"/>
    </xf>
    <xf numFmtId="0" fontId="17" fillId="0" borderId="0" xfId="0" applyFont="1" applyFill="1" applyAlignment="1">
      <alignment horizontal="center" vertical="center" wrapText="1"/>
    </xf>
    <xf numFmtId="0" fontId="12" fillId="16" borderId="0" xfId="0" applyFont="1" applyFill="1" applyAlignment="1">
      <alignment horizontal="center" vertical="center"/>
    </xf>
    <xf numFmtId="0" fontId="11" fillId="16" borderId="0" xfId="0" applyFont="1" applyFill="1" applyAlignment="1">
      <alignment horizontal="center" vertical="center"/>
    </xf>
    <xf numFmtId="0" fontId="12" fillId="17" borderId="0" xfId="0" applyFont="1" applyFill="1" applyAlignment="1">
      <alignment horizontal="center" vertical="center"/>
    </xf>
    <xf numFmtId="0" fontId="12" fillId="18" borderId="0" xfId="0" applyFont="1" applyFill="1" applyAlignment="1">
      <alignment horizontal="center" vertical="center"/>
    </xf>
    <xf numFmtId="0" fontId="12" fillId="19" borderId="0" xfId="0" applyFont="1" applyFill="1" applyAlignment="1">
      <alignment horizontal="center" vertical="center"/>
    </xf>
    <xf numFmtId="0" fontId="12" fillId="20" borderId="0" xfId="0" applyFont="1" applyFill="1" applyAlignment="1">
      <alignment horizontal="center" vertical="center"/>
    </xf>
    <xf numFmtId="0" fontId="18" fillId="11" borderId="1" xfId="0" applyFont="1" applyFill="1" applyBorder="1" applyAlignment="1">
      <alignment horizontal="left" vertical="center"/>
    </xf>
    <xf numFmtId="0" fontId="12" fillId="0" borderId="0" xfId="0" applyFont="1" applyFill="1" applyAlignment="1">
      <alignment horizontal="left" vertical="center"/>
    </xf>
    <xf numFmtId="0" fontId="12" fillId="0" borderId="0" xfId="3" applyFont="1" applyFill="1" applyAlignment="1">
      <alignment horizontal="left" vertical="center"/>
    </xf>
    <xf numFmtId="0" fontId="10" fillId="0" borderId="0" xfId="0" applyFont="1" applyFill="1" applyAlignment="1">
      <alignment horizontal="left" vertical="center"/>
    </xf>
    <xf numFmtId="0" fontId="0" fillId="0" borderId="0" xfId="0" applyFill="1" applyAlignment="1">
      <alignment horizontal="left" vertical="center"/>
    </xf>
    <xf numFmtId="0" fontId="12" fillId="0" borderId="0" xfId="0" applyNumberFormat="1" applyFont="1" applyFill="1" applyAlignment="1">
      <alignment horizontal="left" vertical="center"/>
    </xf>
    <xf numFmtId="0" fontId="1" fillId="0" borderId="0" xfId="0" applyFont="1" applyFill="1" applyAlignment="1">
      <alignment horizontal="center" vertical="center"/>
    </xf>
    <xf numFmtId="0" fontId="1" fillId="21" borderId="0" xfId="0" applyFont="1" applyFill="1" applyAlignment="1">
      <alignment horizontal="center" vertical="center"/>
    </xf>
    <xf numFmtId="0" fontId="2" fillId="21" borderId="0" xfId="0" applyFont="1" applyFill="1" applyAlignment="1">
      <alignment horizontal="center" vertical="center"/>
    </xf>
    <xf numFmtId="0" fontId="1" fillId="22" borderId="0" xfId="0" applyFont="1" applyFill="1" applyAlignment="1">
      <alignment horizontal="center" vertical="center"/>
    </xf>
    <xf numFmtId="0" fontId="2" fillId="22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3" fillId="10" borderId="0" xfId="0" applyFont="1" applyFill="1" applyAlignment="1">
      <alignment horizontal="center" vertical="center"/>
    </xf>
    <xf numFmtId="0" fontId="1" fillId="23" borderId="0" xfId="0" applyFont="1" applyFill="1" applyAlignment="1">
      <alignment horizontal="center" vertical="center"/>
    </xf>
    <xf numFmtId="0" fontId="2" fillId="23" borderId="0" xfId="0" applyFont="1" applyFill="1" applyAlignment="1">
      <alignment horizontal="center" vertical="center"/>
    </xf>
    <xf numFmtId="0" fontId="3" fillId="23" borderId="0" xfId="0" applyFont="1" applyFill="1" applyAlignment="1">
      <alignment horizontal="center" vertical="center"/>
    </xf>
    <xf numFmtId="0" fontId="3" fillId="21" borderId="0" xfId="0" applyFont="1" applyFill="1" applyAlignment="1">
      <alignment horizontal="center" vertical="center"/>
    </xf>
    <xf numFmtId="0" fontId="22" fillId="2" borderId="0" xfId="0" applyFont="1" applyFill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2" fillId="7" borderId="0" xfId="0" applyFont="1" applyFill="1" applyAlignment="1">
      <alignment horizontal="center" vertical="center"/>
    </xf>
    <xf numFmtId="0" fontId="22" fillId="3" borderId="0" xfId="0" applyFont="1" applyFill="1" applyAlignment="1">
      <alignment horizontal="center" vertical="center"/>
    </xf>
    <xf numFmtId="0" fontId="22" fillId="5" borderId="0" xfId="0" applyFont="1" applyFill="1" applyAlignment="1">
      <alignment horizontal="center" vertical="center"/>
    </xf>
    <xf numFmtId="0" fontId="22" fillId="4" borderId="0" xfId="0" applyFont="1" applyFill="1" applyAlignment="1">
      <alignment horizontal="center" vertical="center"/>
    </xf>
    <xf numFmtId="0" fontId="22" fillId="22" borderId="0" xfId="0" applyFont="1" applyFill="1" applyAlignment="1">
      <alignment horizontal="center" vertical="center"/>
    </xf>
  </cellXfs>
  <cellStyles count="4">
    <cellStyle name="常规" xfId="0" builtinId="0"/>
    <cellStyle name="常规 3" xfId="1" xr:uid="{00000000-0005-0000-0000-000031000000}"/>
    <cellStyle name="常规 4" xfId="3" xr:uid="{00000000-0005-0000-0000-000033000000}"/>
    <cellStyle name="千位分隔 2" xfId="2" xr:uid="{00000000-0005-0000-0000-000032000000}"/>
  </cellStyles>
  <dxfs count="37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36"/>
      <tableStyleElement type="headerRow" dxfId="35"/>
      <tableStyleElement type="totalRow" dxfId="34"/>
      <tableStyleElement type="firstColumn" dxfId="33"/>
      <tableStyleElement type="lastColumn" dxfId="32"/>
      <tableStyleElement type="firstRowStripe" dxfId="31"/>
      <tableStyleElement type="firstColumnStripe" dxfId="30"/>
    </tableStyle>
    <tableStyle name="PivotStylePreset2_Accent1" table="0" count="10" xr9:uid="{267968C8-6FFD-4C36-ACC1-9EA1FD1885CA}">
      <tableStyleElement type="headerRow" dxfId="29"/>
      <tableStyleElement type="totalRow" dxfId="28"/>
      <tableStyleElement type="firstRowStripe" dxfId="27"/>
      <tableStyleElement type="firstColumnStripe" dxfId="26"/>
      <tableStyleElement type="firstSubtotalRow" dxfId="25"/>
      <tableStyleElement type="secondSubtotalRow" dxfId="24"/>
      <tableStyleElement type="firstRowSubheading" dxfId="23"/>
      <tableStyleElement type="secondRowSubheading" dxfId="22"/>
      <tableStyleElement type="pageFieldLabels" dxfId="21"/>
      <tableStyleElement type="pageFieldValues" dxfId="2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35"/>
  <sheetViews>
    <sheetView topLeftCell="A700" workbookViewId="0">
      <selection activeCell="F48" sqref="F48"/>
    </sheetView>
  </sheetViews>
  <sheetFormatPr defaultColWidth="9" defaultRowHeight="13.5" x14ac:dyDescent="0.15"/>
  <cols>
    <col min="1" max="1" width="13.5" style="3" customWidth="1"/>
    <col min="2" max="2" width="17.125" style="3" customWidth="1"/>
    <col min="3" max="3" width="9" style="3"/>
    <col min="4" max="5" width="15.75" style="3" customWidth="1"/>
    <col min="6" max="6" width="19.625" style="3" customWidth="1"/>
    <col min="7" max="7" width="21.25" style="3" customWidth="1"/>
  </cols>
  <sheetData>
    <row r="1" spans="1:7" ht="15" x14ac:dyDescent="0.15">
      <c r="A1" s="61" t="s">
        <v>0</v>
      </c>
      <c r="B1" s="61" t="s">
        <v>1</v>
      </c>
      <c r="C1" s="5" t="s">
        <v>2</v>
      </c>
      <c r="D1" s="3" t="s">
        <v>3</v>
      </c>
      <c r="F1" s="74" t="s">
        <v>868</v>
      </c>
      <c r="G1" s="3" t="s">
        <v>5</v>
      </c>
    </row>
    <row r="2" spans="1:7" ht="15" x14ac:dyDescent="0.15">
      <c r="A2" s="62" t="s">
        <v>6</v>
      </c>
      <c r="B2" s="62">
        <v>3000</v>
      </c>
      <c r="C2" s="63" t="s">
        <v>7</v>
      </c>
      <c r="D2" s="3" t="str">
        <f>VLOOKUP(A2,武将获取途径!$A:$D,4,0)</f>
        <v>珍宝</v>
      </c>
      <c r="G2"/>
    </row>
    <row r="3" spans="1:7" ht="15" x14ac:dyDescent="0.15">
      <c r="A3" s="62" t="s">
        <v>8</v>
      </c>
      <c r="B3" s="62">
        <v>3000</v>
      </c>
      <c r="C3" s="63" t="s">
        <v>7</v>
      </c>
      <c r="D3" s="3" t="str">
        <f>VLOOKUP(A3,武将获取途径!$A:$D,4,0)</f>
        <v>珍宝</v>
      </c>
      <c r="G3"/>
    </row>
    <row r="4" spans="1:7" ht="15" x14ac:dyDescent="0.15">
      <c r="A4" s="62" t="s">
        <v>9</v>
      </c>
      <c r="B4" s="62">
        <v>3000</v>
      </c>
      <c r="C4" s="63" t="s">
        <v>7</v>
      </c>
      <c r="D4" s="3" t="str">
        <f>VLOOKUP(A4,武将获取途径!$A:$D,4,0)</f>
        <v>纳贤</v>
      </c>
      <c r="G4"/>
    </row>
    <row r="5" spans="1:7" ht="15" x14ac:dyDescent="0.15">
      <c r="A5" s="62" t="s">
        <v>10</v>
      </c>
      <c r="B5" s="62">
        <v>3000</v>
      </c>
      <c r="C5" s="63" t="s">
        <v>7</v>
      </c>
      <c r="D5" s="3" t="str">
        <f>VLOOKUP(A5,武将获取途径!$A:$D,4,0)</f>
        <v>纳贤</v>
      </c>
      <c r="G5"/>
    </row>
    <row r="6" spans="1:7" ht="15" x14ac:dyDescent="0.15">
      <c r="A6" s="62" t="s">
        <v>11</v>
      </c>
      <c r="B6" s="62">
        <v>3000</v>
      </c>
      <c r="C6" s="63" t="s">
        <v>7</v>
      </c>
      <c r="D6" s="3" t="str">
        <f>VLOOKUP(A6,武将获取途径!$A:$D,4,0)</f>
        <v>珍宝</v>
      </c>
      <c r="G6"/>
    </row>
    <row r="7" spans="1:7" ht="15" x14ac:dyDescent="0.15">
      <c r="A7" s="64" t="s">
        <v>12</v>
      </c>
      <c r="B7" s="64">
        <v>2992</v>
      </c>
      <c r="C7" s="65" t="s">
        <v>13</v>
      </c>
      <c r="D7" s="3" t="str">
        <f>VLOOKUP(A7,武将获取途径!$A:$D,4,0)</f>
        <v>珍宝</v>
      </c>
      <c r="G7"/>
    </row>
    <row r="8" spans="1:7" ht="15" x14ac:dyDescent="0.15">
      <c r="A8" s="64" t="s">
        <v>14</v>
      </c>
      <c r="B8" s="64">
        <v>2985</v>
      </c>
      <c r="C8" s="65" t="s">
        <v>13</v>
      </c>
      <c r="D8" s="3" t="str">
        <f>VLOOKUP(A8,武将获取途径!$A:$D,4,0)</f>
        <v>祈福</v>
      </c>
      <c r="G8"/>
    </row>
    <row r="9" spans="1:7" ht="15" x14ac:dyDescent="0.15">
      <c r="A9" s="64" t="s">
        <v>15</v>
      </c>
      <c r="B9" s="64">
        <v>2979</v>
      </c>
      <c r="C9" s="65" t="s">
        <v>13</v>
      </c>
      <c r="D9" s="3" t="s">
        <v>16</v>
      </c>
      <c r="G9"/>
    </row>
    <row r="10" spans="1:7" ht="15" x14ac:dyDescent="0.15">
      <c r="A10" s="64" t="s">
        <v>17</v>
      </c>
      <c r="B10" s="64">
        <v>2950</v>
      </c>
      <c r="C10" s="65" t="s">
        <v>13</v>
      </c>
      <c r="D10" s="3" t="str">
        <f>VLOOKUP(A10,武将获取途径!$A:$D,4,0)</f>
        <v>纳贤</v>
      </c>
      <c r="G10"/>
    </row>
    <row r="11" spans="1:7" ht="15" x14ac:dyDescent="0.15">
      <c r="A11" s="64" t="s">
        <v>18</v>
      </c>
      <c r="B11" s="64">
        <v>2949</v>
      </c>
      <c r="C11" s="65" t="s">
        <v>13</v>
      </c>
      <c r="D11" s="3" t="str">
        <f>VLOOKUP(A11,武将获取途径!$A:$D,4,0)</f>
        <v>祈福</v>
      </c>
      <c r="G11"/>
    </row>
    <row r="12" spans="1:7" ht="15" x14ac:dyDescent="0.15">
      <c r="A12" s="64" t="s">
        <v>19</v>
      </c>
      <c r="B12" s="64">
        <v>2947</v>
      </c>
      <c r="C12" s="65" t="s">
        <v>13</v>
      </c>
      <c r="D12" s="3" t="str">
        <f>VLOOKUP(A12,武将获取途径!$A:$D,4,0)</f>
        <v>珍宝</v>
      </c>
      <c r="G12"/>
    </row>
    <row r="13" spans="1:7" ht="15" x14ac:dyDescent="0.15">
      <c r="A13" s="64" t="s">
        <v>20</v>
      </c>
      <c r="B13" s="64">
        <v>2932</v>
      </c>
      <c r="C13" s="65" t="s">
        <v>13</v>
      </c>
      <c r="D13" s="3" t="str">
        <f>VLOOKUP(A13,武将获取途径!$A:$D,4,0)</f>
        <v>珍宝</v>
      </c>
      <c r="G13"/>
    </row>
    <row r="14" spans="1:7" ht="15" x14ac:dyDescent="0.15">
      <c r="A14" s="64" t="s">
        <v>21</v>
      </c>
      <c r="B14" s="64">
        <v>2926</v>
      </c>
      <c r="C14" s="65" t="s">
        <v>13</v>
      </c>
      <c r="D14" s="3" t="str">
        <f>VLOOKUP(A14,武将获取途径!$A:$D,4,0)</f>
        <v>祈福</v>
      </c>
      <c r="G14"/>
    </row>
    <row r="15" spans="1:7" ht="15" x14ac:dyDescent="0.15">
      <c r="A15" s="64" t="s">
        <v>22</v>
      </c>
      <c r="B15" s="64">
        <v>2917</v>
      </c>
      <c r="C15" s="65" t="s">
        <v>13</v>
      </c>
      <c r="D15" s="3" t="str">
        <f>VLOOKUP(A15,武将获取途径!$A:$D,4,0)</f>
        <v>宝玉兑换</v>
      </c>
      <c r="G15"/>
    </row>
    <row r="16" spans="1:7" ht="15" x14ac:dyDescent="0.15">
      <c r="A16" s="64" t="s">
        <v>23</v>
      </c>
      <c r="B16" s="64">
        <v>2912</v>
      </c>
      <c r="C16" s="65" t="s">
        <v>13</v>
      </c>
      <c r="D16" s="3" t="str">
        <f>VLOOKUP(A16,武将获取途径!$A:$D,4,0)</f>
        <v>宝玉兑换</v>
      </c>
      <c r="G16"/>
    </row>
    <row r="17" spans="1:7" ht="16.5" x14ac:dyDescent="0.15">
      <c r="A17" s="79" t="s">
        <v>866</v>
      </c>
      <c r="B17" s="64">
        <v>2904</v>
      </c>
      <c r="C17" s="65" t="s">
        <v>13</v>
      </c>
      <c r="D17" s="3" t="str">
        <f>VLOOKUP(A17,武将获取途径!$A:$D,4,0)</f>
        <v>珍宝</v>
      </c>
      <c r="G17"/>
    </row>
    <row r="18" spans="1:7" ht="15" x14ac:dyDescent="0.15">
      <c r="A18" s="64" t="s">
        <v>25</v>
      </c>
      <c r="B18" s="64">
        <v>2900</v>
      </c>
      <c r="C18" s="65" t="s">
        <v>13</v>
      </c>
      <c r="D18" s="3" t="str">
        <f>VLOOKUP(A18,武将获取途径!$A:$D,4,0)</f>
        <v>充值奖励</v>
      </c>
      <c r="G18"/>
    </row>
    <row r="19" spans="1:7" ht="15" x14ac:dyDescent="0.15">
      <c r="A19" s="64" t="s">
        <v>26</v>
      </c>
      <c r="B19" s="64">
        <v>2893</v>
      </c>
      <c r="C19" s="65" t="s">
        <v>13</v>
      </c>
      <c r="D19" s="3" t="str">
        <f>VLOOKUP(A19,武将获取途径!$A:$D,4,0)</f>
        <v>祈福</v>
      </c>
      <c r="G19"/>
    </row>
    <row r="20" spans="1:7" ht="15" x14ac:dyDescent="0.15">
      <c r="A20" s="64" t="s">
        <v>27</v>
      </c>
      <c r="B20" s="64">
        <v>2875</v>
      </c>
      <c r="C20" s="65" t="s">
        <v>13</v>
      </c>
      <c r="D20" s="3" t="str">
        <f>VLOOKUP(A20,武将获取途径!$A:$D,4,0)</f>
        <v>珍宝</v>
      </c>
      <c r="G20"/>
    </row>
    <row r="21" spans="1:7" ht="15" x14ac:dyDescent="0.15">
      <c r="A21" s="64" t="s">
        <v>28</v>
      </c>
      <c r="B21" s="64">
        <v>2871</v>
      </c>
      <c r="C21" s="65" t="s">
        <v>13</v>
      </c>
      <c r="D21" s="3" t="str">
        <f>VLOOKUP(A21,武将获取途径!$A:$D,4,0)</f>
        <v>祈福</v>
      </c>
      <c r="G21"/>
    </row>
    <row r="22" spans="1:7" ht="15" x14ac:dyDescent="0.15">
      <c r="A22" s="64" t="s">
        <v>29</v>
      </c>
      <c r="B22" s="64">
        <v>2859</v>
      </c>
      <c r="C22" s="65" t="s">
        <v>13</v>
      </c>
      <c r="D22" s="3" t="str">
        <f>VLOOKUP(A22,武将获取途径!$A:$D,4,0)</f>
        <v>纳贤</v>
      </c>
      <c r="G22"/>
    </row>
    <row r="23" spans="1:7" ht="15" x14ac:dyDescent="0.15">
      <c r="A23" s="64" t="s">
        <v>30</v>
      </c>
      <c r="B23" s="64">
        <v>2843</v>
      </c>
      <c r="C23" s="65" t="s">
        <v>13</v>
      </c>
      <c r="D23" s="3" t="str">
        <f>VLOOKUP(A23,武将获取途径!$A:$D,4,0)</f>
        <v>纳贤</v>
      </c>
      <c r="G23"/>
    </row>
    <row r="24" spans="1:7" ht="15" x14ac:dyDescent="0.15">
      <c r="A24" s="64" t="s">
        <v>31</v>
      </c>
      <c r="B24" s="64">
        <v>2800</v>
      </c>
      <c r="C24" s="65" t="s">
        <v>13</v>
      </c>
      <c r="D24" s="3" t="s">
        <v>32</v>
      </c>
      <c r="G24"/>
    </row>
    <row r="25" spans="1:7" ht="16.5" x14ac:dyDescent="0.15">
      <c r="A25" s="79" t="s">
        <v>867</v>
      </c>
      <c r="B25" s="64">
        <v>2800</v>
      </c>
      <c r="C25" s="65" t="s">
        <v>13</v>
      </c>
      <c r="D25" s="3" t="str">
        <f>VLOOKUP(A25,武将获取途径!$A:$D,4,0)</f>
        <v>珍宝</v>
      </c>
      <c r="G25"/>
    </row>
    <row r="26" spans="1:7" ht="15" x14ac:dyDescent="0.15">
      <c r="A26" s="64" t="s">
        <v>34</v>
      </c>
      <c r="B26" s="64">
        <v>2800</v>
      </c>
      <c r="C26" s="65" t="s">
        <v>13</v>
      </c>
      <c r="D26" s="3" t="str">
        <f>VLOOKUP(A26,武将获取途径!$A:$D,4,0)</f>
        <v>宝玉兑换</v>
      </c>
      <c r="G26"/>
    </row>
    <row r="27" spans="1:7" ht="15" x14ac:dyDescent="0.15">
      <c r="A27" s="8" t="s">
        <v>35</v>
      </c>
      <c r="B27" s="8">
        <v>2798</v>
      </c>
      <c r="C27" s="9" t="s">
        <v>36</v>
      </c>
      <c r="D27" s="3" t="str">
        <f>VLOOKUP(A27,武将获取途径!$A:$D,4,0)</f>
        <v>珍宝</v>
      </c>
      <c r="G27"/>
    </row>
    <row r="28" spans="1:7" ht="15" x14ac:dyDescent="0.15">
      <c r="A28" s="8" t="s">
        <v>37</v>
      </c>
      <c r="B28" s="8">
        <v>2786</v>
      </c>
      <c r="C28" s="9" t="s">
        <v>36</v>
      </c>
      <c r="D28" s="3" t="str">
        <f>VLOOKUP(A28,武将获取途径!$A:$D,4,0)</f>
        <v>珍宝</v>
      </c>
      <c r="G28"/>
    </row>
    <row r="29" spans="1:7" ht="15" x14ac:dyDescent="0.15">
      <c r="A29" s="8" t="s">
        <v>38</v>
      </c>
      <c r="B29" s="8">
        <v>2781</v>
      </c>
      <c r="C29" s="9" t="s">
        <v>36</v>
      </c>
      <c r="D29" s="3" t="str">
        <f>VLOOKUP(A29,武将获取途径!$A:$D,4,0)</f>
        <v>珍宝</v>
      </c>
      <c r="G29"/>
    </row>
    <row r="30" spans="1:7" ht="15" x14ac:dyDescent="0.15">
      <c r="A30" s="8" t="s">
        <v>39</v>
      </c>
      <c r="B30" s="8">
        <v>2781</v>
      </c>
      <c r="C30" s="9" t="s">
        <v>36</v>
      </c>
      <c r="D30" s="3" t="str">
        <f>VLOOKUP(A30,武将获取途径!$A:$D,4,0)</f>
        <v>纳贤</v>
      </c>
      <c r="G30"/>
    </row>
    <row r="31" spans="1:7" ht="15" x14ac:dyDescent="0.15">
      <c r="A31" s="8" t="s">
        <v>40</v>
      </c>
      <c r="B31" s="8">
        <v>2771</v>
      </c>
      <c r="C31" s="9" t="s">
        <v>36</v>
      </c>
      <c r="D31" s="3" t="str">
        <f>VLOOKUP(A31,武将获取途径!$A:$D,4,0)</f>
        <v>珍宝</v>
      </c>
      <c r="G31"/>
    </row>
    <row r="32" spans="1:7" ht="15" x14ac:dyDescent="0.15">
      <c r="A32" s="8" t="s">
        <v>41</v>
      </c>
      <c r="B32" s="8">
        <v>2762</v>
      </c>
      <c r="C32" s="9" t="s">
        <v>36</v>
      </c>
      <c r="D32" s="3" t="str">
        <f>VLOOKUP(A32,武将获取途径!$A:$D,4,0)</f>
        <v>祈福</v>
      </c>
      <c r="G32"/>
    </row>
    <row r="33" spans="1:7" ht="16.5" x14ac:dyDescent="0.15">
      <c r="A33" s="78" t="s">
        <v>862</v>
      </c>
      <c r="B33" s="8">
        <v>2761</v>
      </c>
      <c r="C33" s="9" t="s">
        <v>36</v>
      </c>
      <c r="D33" s="3" t="str">
        <f>VLOOKUP(A33,武将获取途径!$A:$D,4,0)</f>
        <v>纳贤</v>
      </c>
      <c r="G33"/>
    </row>
    <row r="34" spans="1:7" ht="16.5" x14ac:dyDescent="0.15">
      <c r="A34" s="78" t="s">
        <v>863</v>
      </c>
      <c r="B34" s="8">
        <v>2760</v>
      </c>
      <c r="C34" s="9" t="s">
        <v>36</v>
      </c>
      <c r="D34" s="3" t="str">
        <f>VLOOKUP(A34,武将获取途径!$A:$D,4,0)</f>
        <v>祈福</v>
      </c>
      <c r="G34"/>
    </row>
    <row r="35" spans="1:7" ht="15" x14ac:dyDescent="0.15">
      <c r="A35" s="8" t="s">
        <v>44</v>
      </c>
      <c r="B35" s="8">
        <v>2753</v>
      </c>
      <c r="C35" s="9" t="s">
        <v>36</v>
      </c>
      <c r="D35" s="3" t="str">
        <f>VLOOKUP(A35,武将获取途径!$A:$D,4,0)</f>
        <v>纳贤</v>
      </c>
      <c r="G35"/>
    </row>
    <row r="36" spans="1:7" ht="15" x14ac:dyDescent="0.15">
      <c r="A36" s="8" t="s">
        <v>45</v>
      </c>
      <c r="B36" s="8">
        <v>2751</v>
      </c>
      <c r="C36" s="9" t="s">
        <v>36</v>
      </c>
      <c r="D36" s="3" t="str">
        <f>VLOOKUP(A36,武将获取途径!$A:$D,4,0)</f>
        <v>纳贤</v>
      </c>
      <c r="G36"/>
    </row>
    <row r="37" spans="1:7" ht="15" x14ac:dyDescent="0.15">
      <c r="A37" s="8" t="s">
        <v>46</v>
      </c>
      <c r="B37" s="8">
        <v>2743</v>
      </c>
      <c r="C37" s="9" t="s">
        <v>36</v>
      </c>
      <c r="D37" s="3" t="s">
        <v>47</v>
      </c>
      <c r="F37" s="3">
        <v>2000</v>
      </c>
    </row>
    <row r="38" spans="1:7" ht="15" x14ac:dyDescent="0.15">
      <c r="A38" s="8" t="s">
        <v>48</v>
      </c>
      <c r="B38" s="8">
        <v>2743</v>
      </c>
      <c r="C38" s="9" t="s">
        <v>36</v>
      </c>
      <c r="D38" s="3" t="str">
        <f>VLOOKUP(A38,武将获取途径!$A:$D,4,0)</f>
        <v>砸蛋</v>
      </c>
      <c r="G38"/>
    </row>
    <row r="39" spans="1:7" ht="15" x14ac:dyDescent="0.15">
      <c r="A39" s="8" t="s">
        <v>49</v>
      </c>
      <c r="B39" s="8">
        <v>2735</v>
      </c>
      <c r="C39" s="9" t="s">
        <v>36</v>
      </c>
      <c r="D39" s="3" t="str">
        <f>VLOOKUP(A39,武将获取途径!$A:$D,4,0)</f>
        <v>祈福</v>
      </c>
      <c r="G39"/>
    </row>
    <row r="40" spans="1:7" ht="15" x14ac:dyDescent="0.15">
      <c r="A40" s="8" t="s">
        <v>50</v>
      </c>
      <c r="B40" s="8">
        <v>2731</v>
      </c>
      <c r="C40" s="9" t="s">
        <v>36</v>
      </c>
      <c r="D40" s="3" t="str">
        <f>VLOOKUP(A40,武将获取途径!$A:$D,4,0)</f>
        <v>纳贤</v>
      </c>
      <c r="G40"/>
    </row>
    <row r="41" spans="1:7" ht="15" x14ac:dyDescent="0.15">
      <c r="A41" s="8" t="s">
        <v>51</v>
      </c>
      <c r="B41" s="8">
        <v>2727</v>
      </c>
      <c r="C41" s="9" t="s">
        <v>36</v>
      </c>
      <c r="D41" s="3" t="str">
        <f>VLOOKUP(A41,武将获取途径!$A:$D,4,0)</f>
        <v>充值奖励</v>
      </c>
      <c r="G41"/>
    </row>
    <row r="42" spans="1:7" ht="15" x14ac:dyDescent="0.15">
      <c r="A42" s="8" t="s">
        <v>52</v>
      </c>
      <c r="B42" s="8">
        <v>2724</v>
      </c>
      <c r="C42" s="9" t="s">
        <v>36</v>
      </c>
      <c r="D42" s="3" t="str">
        <f>VLOOKUP(A42,武将获取途径!$A:$D,4,0)</f>
        <v>纳贤</v>
      </c>
      <c r="G42"/>
    </row>
    <row r="43" spans="1:7" ht="15" x14ac:dyDescent="0.15">
      <c r="A43" s="8" t="s">
        <v>53</v>
      </c>
      <c r="B43" s="8">
        <v>2712</v>
      </c>
      <c r="C43" s="9" t="s">
        <v>36</v>
      </c>
      <c r="D43" s="3" t="str">
        <f>VLOOKUP(A43,武将获取途径!$A:$D,4,0)</f>
        <v>如意签</v>
      </c>
      <c r="G43"/>
    </row>
    <row r="44" spans="1:7" ht="15" x14ac:dyDescent="0.15">
      <c r="A44" s="8" t="s">
        <v>54</v>
      </c>
      <c r="B44" s="8">
        <v>2704</v>
      </c>
      <c r="C44" s="9" t="s">
        <v>36</v>
      </c>
      <c r="D44" s="3" t="str">
        <f>VLOOKUP(A44,武将获取途径!$A:$D,4,0)</f>
        <v>纳贤</v>
      </c>
      <c r="G44"/>
    </row>
    <row r="45" spans="1:7" ht="15" x14ac:dyDescent="0.15">
      <c r="A45" s="8" t="s">
        <v>55</v>
      </c>
      <c r="B45" s="8">
        <v>2700</v>
      </c>
      <c r="C45" s="9" t="s">
        <v>36</v>
      </c>
      <c r="D45" s="3" t="str">
        <f>VLOOKUP(A45,武将获取途径!$A:$D,4,0)</f>
        <v>纳贤</v>
      </c>
      <c r="G45"/>
    </row>
    <row r="46" spans="1:7" ht="15" x14ac:dyDescent="0.15">
      <c r="A46" s="8" t="s">
        <v>56</v>
      </c>
      <c r="B46" s="8">
        <v>2700</v>
      </c>
      <c r="C46" s="9" t="s">
        <v>36</v>
      </c>
      <c r="D46" s="3" t="str">
        <f>VLOOKUP(A46,武将获取途径!$A:$D,4,0)</f>
        <v>珍宝</v>
      </c>
      <c r="G46"/>
    </row>
    <row r="47" spans="1:7" ht="15" x14ac:dyDescent="0.15">
      <c r="A47" s="8" t="s">
        <v>57</v>
      </c>
      <c r="B47" s="8">
        <v>2700</v>
      </c>
      <c r="C47" s="9" t="s">
        <v>36</v>
      </c>
      <c r="D47" s="3" t="str">
        <f>VLOOKUP(A47,武将获取途径!$A:$D,4,0)</f>
        <v>祈福</v>
      </c>
      <c r="G47"/>
    </row>
    <row r="48" spans="1:7" ht="15" x14ac:dyDescent="0.15">
      <c r="A48" s="8" t="s">
        <v>58</v>
      </c>
      <c r="B48" s="8">
        <v>2700</v>
      </c>
      <c r="C48" s="9" t="s">
        <v>36</v>
      </c>
      <c r="D48" s="3" t="s">
        <v>47</v>
      </c>
      <c r="F48" s="3">
        <v>10000</v>
      </c>
    </row>
    <row r="49" spans="1:7" ht="15" x14ac:dyDescent="0.15">
      <c r="A49" s="8" t="s">
        <v>59</v>
      </c>
      <c r="B49" s="8">
        <v>2700</v>
      </c>
      <c r="C49" s="9" t="s">
        <v>36</v>
      </c>
      <c r="D49" s="3" t="str">
        <f>VLOOKUP(A49,武将获取途径!$A:$D,4,0)</f>
        <v>纳贤</v>
      </c>
      <c r="G49"/>
    </row>
    <row r="50" spans="1:7" ht="15" x14ac:dyDescent="0.15">
      <c r="A50" s="8" t="s">
        <v>60</v>
      </c>
      <c r="B50" s="8">
        <v>2700</v>
      </c>
      <c r="C50" s="9" t="s">
        <v>36</v>
      </c>
      <c r="D50" s="3" t="str">
        <f>VLOOKUP(A50,武将获取途径!$A:$D,4,0)</f>
        <v>纳贤</v>
      </c>
      <c r="G50"/>
    </row>
    <row r="51" spans="1:7" ht="15" x14ac:dyDescent="0.15">
      <c r="A51" s="8" t="s">
        <v>61</v>
      </c>
      <c r="B51" s="8">
        <v>2681</v>
      </c>
      <c r="C51" s="9" t="s">
        <v>36</v>
      </c>
      <c r="D51" s="3" t="str">
        <f>VLOOKUP(A51,武将获取途径!$A:$D,4,0)</f>
        <v>如意签</v>
      </c>
      <c r="G51"/>
    </row>
    <row r="52" spans="1:7" ht="15" x14ac:dyDescent="0.15">
      <c r="A52" s="8" t="s">
        <v>62</v>
      </c>
      <c r="B52" s="8">
        <v>2665</v>
      </c>
      <c r="C52" s="9" t="s">
        <v>36</v>
      </c>
      <c r="D52" s="3" t="str">
        <f>VLOOKUP(A52,武将获取途径!$A:$D,4,0)</f>
        <v>纳贤</v>
      </c>
      <c r="G52"/>
    </row>
    <row r="53" spans="1:7" ht="15" x14ac:dyDescent="0.15">
      <c r="A53" s="8" t="s">
        <v>63</v>
      </c>
      <c r="B53" s="8">
        <v>2655</v>
      </c>
      <c r="C53" s="9" t="s">
        <v>36</v>
      </c>
      <c r="D53" s="3" t="str">
        <f>VLOOKUP(A53,武将获取途径!$A:$D,4,0)</f>
        <v>祈福</v>
      </c>
      <c r="G53"/>
    </row>
    <row r="54" spans="1:7" ht="15" x14ac:dyDescent="0.15">
      <c r="A54" s="8" t="s">
        <v>64</v>
      </c>
      <c r="B54" s="8">
        <v>2655</v>
      </c>
      <c r="C54" s="9" t="s">
        <v>36</v>
      </c>
      <c r="D54" s="3" t="str">
        <f>VLOOKUP(A54,武将获取途径!$A:$D,4,0)</f>
        <v>纳贤</v>
      </c>
      <c r="G54"/>
    </row>
    <row r="55" spans="1:7" ht="15" x14ac:dyDescent="0.15">
      <c r="A55" s="8" t="s">
        <v>65</v>
      </c>
      <c r="B55" s="8">
        <v>2650</v>
      </c>
      <c r="C55" s="9" t="s">
        <v>36</v>
      </c>
      <c r="D55" s="3" t="str">
        <f>VLOOKUP(A55,武将获取途径!$A:$D,4,0)</f>
        <v>珍宝</v>
      </c>
      <c r="G55"/>
    </row>
    <row r="56" spans="1:7" ht="15" x14ac:dyDescent="0.15">
      <c r="A56" s="8" t="s">
        <v>66</v>
      </c>
      <c r="B56" s="8">
        <v>2600</v>
      </c>
      <c r="C56" s="9" t="s">
        <v>36</v>
      </c>
      <c r="D56" s="3" t="str">
        <f>VLOOKUP(A56,武将获取途径!$A:$D,4,0)</f>
        <v>纳贤</v>
      </c>
      <c r="G56"/>
    </row>
    <row r="57" spans="1:7" ht="15" x14ac:dyDescent="0.15">
      <c r="A57" s="8" t="s">
        <v>67</v>
      </c>
      <c r="B57" s="8">
        <v>2600</v>
      </c>
      <c r="C57" s="9" t="s">
        <v>36</v>
      </c>
      <c r="D57" s="3" t="str">
        <f>VLOOKUP(A57,武将获取途径!$A:$D,4,0)</f>
        <v>祈福</v>
      </c>
      <c r="G57"/>
    </row>
    <row r="58" spans="1:7" ht="15" x14ac:dyDescent="0.15">
      <c r="A58" s="8" t="s">
        <v>68</v>
      </c>
      <c r="B58" s="8">
        <v>2600</v>
      </c>
      <c r="C58" s="9" t="s">
        <v>36</v>
      </c>
      <c r="D58" s="3" t="str">
        <f>VLOOKUP(A58,武将获取途径!$A:$D,4,0)</f>
        <v>珍宝</v>
      </c>
      <c r="G58"/>
    </row>
    <row r="59" spans="1:7" ht="15" x14ac:dyDescent="0.15">
      <c r="A59" s="8" t="s">
        <v>69</v>
      </c>
      <c r="B59" s="8">
        <v>2600</v>
      </c>
      <c r="C59" s="9" t="s">
        <v>36</v>
      </c>
      <c r="D59" s="3" t="str">
        <f>VLOOKUP(A59,武将获取途径!$A:$D,4,0)</f>
        <v>纳贤</v>
      </c>
      <c r="G59"/>
    </row>
    <row r="60" spans="1:7" ht="15" x14ac:dyDescent="0.15">
      <c r="A60" s="10" t="s">
        <v>70</v>
      </c>
      <c r="B60" s="10">
        <v>2591</v>
      </c>
      <c r="C60" s="11" t="s">
        <v>71</v>
      </c>
      <c r="D60" s="3" t="s">
        <v>47</v>
      </c>
      <c r="F60" s="3">
        <v>6000</v>
      </c>
    </row>
    <row r="61" spans="1:7" ht="15" x14ac:dyDescent="0.15">
      <c r="A61" s="10" t="s">
        <v>72</v>
      </c>
      <c r="B61" s="10">
        <v>2588</v>
      </c>
      <c r="C61" s="11" t="s">
        <v>71</v>
      </c>
      <c r="D61" s="3" t="str">
        <f>VLOOKUP(A61,武将获取途径!$A:$D,4,0)</f>
        <v>充值奖励</v>
      </c>
      <c r="G61"/>
    </row>
    <row r="62" spans="1:7" ht="15" x14ac:dyDescent="0.15">
      <c r="A62" s="10" t="s">
        <v>73</v>
      </c>
      <c r="B62" s="10">
        <v>2587</v>
      </c>
      <c r="C62" s="11" t="s">
        <v>71</v>
      </c>
      <c r="D62" s="3" t="str">
        <f>VLOOKUP(A62,武将获取途径!$A:$D,4,0)</f>
        <v>纳贤</v>
      </c>
      <c r="G62"/>
    </row>
    <row r="63" spans="1:7" ht="16.5" x14ac:dyDescent="0.15">
      <c r="A63" s="77" t="s">
        <v>864</v>
      </c>
      <c r="B63" s="10">
        <v>2587</v>
      </c>
      <c r="C63" s="11" t="s">
        <v>71</v>
      </c>
      <c r="D63" s="3" t="str">
        <f>VLOOKUP(A63,武将获取途径!$A:$D,4,0)</f>
        <v>珍宝</v>
      </c>
      <c r="G63"/>
    </row>
    <row r="64" spans="1:7" ht="16.5" x14ac:dyDescent="0.15">
      <c r="A64" s="77" t="s">
        <v>861</v>
      </c>
      <c r="B64" s="10">
        <v>2579</v>
      </c>
      <c r="C64" s="11" t="s">
        <v>71</v>
      </c>
      <c r="D64" s="3" t="str">
        <f>VLOOKUP(A64,武将获取途径!$A:$D,4,0)</f>
        <v>纳贤</v>
      </c>
      <c r="G64"/>
    </row>
    <row r="65" spans="1:7" ht="16.5" x14ac:dyDescent="0.15">
      <c r="A65" s="77" t="s">
        <v>860</v>
      </c>
      <c r="B65" s="10">
        <v>2576</v>
      </c>
      <c r="C65" s="11" t="s">
        <v>71</v>
      </c>
      <c r="D65" s="3" t="str">
        <f>VLOOKUP(A65,武将获取途径!$A:$D,4,0)</f>
        <v>祈福</v>
      </c>
      <c r="G65"/>
    </row>
    <row r="66" spans="1:7" ht="15" x14ac:dyDescent="0.15">
      <c r="A66" s="10" t="s">
        <v>77</v>
      </c>
      <c r="B66" s="10">
        <v>2575</v>
      </c>
      <c r="C66" s="11" t="s">
        <v>71</v>
      </c>
      <c r="D66" s="3" t="str">
        <f>VLOOKUP(A66,武将获取途径!$A:$D,4,0)</f>
        <v>珍宝</v>
      </c>
      <c r="G66"/>
    </row>
    <row r="67" spans="1:7" ht="15" x14ac:dyDescent="0.15">
      <c r="A67" s="10" t="s">
        <v>78</v>
      </c>
      <c r="B67" s="10">
        <v>2575</v>
      </c>
      <c r="C67" s="11" t="s">
        <v>71</v>
      </c>
      <c r="D67" s="3" t="str">
        <f>VLOOKUP(A67,武将获取途径!$A:$D,4,0)</f>
        <v>如意签</v>
      </c>
      <c r="G67"/>
    </row>
    <row r="68" spans="1:7" ht="16.5" x14ac:dyDescent="0.15">
      <c r="A68" s="77" t="s">
        <v>865</v>
      </c>
      <c r="B68" s="10">
        <v>2567</v>
      </c>
      <c r="C68" s="11" t="s">
        <v>71</v>
      </c>
      <c r="D68" s="3" t="str">
        <f>VLOOKUP(A68,武将获取途径!$A:$D,4,0)</f>
        <v>纳贤</v>
      </c>
      <c r="G68"/>
    </row>
    <row r="69" spans="1:7" ht="15" x14ac:dyDescent="0.15">
      <c r="A69" s="10" t="s">
        <v>80</v>
      </c>
      <c r="B69" s="10">
        <v>2567</v>
      </c>
      <c r="C69" s="11" t="s">
        <v>71</v>
      </c>
      <c r="D69" s="3" t="str">
        <f>VLOOKUP(A69,武将获取途径!$A:$D,4,0)</f>
        <v>纳贤</v>
      </c>
      <c r="G69"/>
    </row>
    <row r="70" spans="1:7" ht="15" x14ac:dyDescent="0.15">
      <c r="A70" s="10" t="s">
        <v>81</v>
      </c>
      <c r="B70" s="10">
        <v>2566</v>
      </c>
      <c r="C70" s="11" t="s">
        <v>71</v>
      </c>
      <c r="D70" s="3" t="str">
        <f>VLOOKUP(A70,武将获取途径!$A:$D,4,0)</f>
        <v>纳贤</v>
      </c>
      <c r="G70"/>
    </row>
    <row r="71" spans="1:7" ht="15" x14ac:dyDescent="0.15">
      <c r="A71" s="10" t="s">
        <v>82</v>
      </c>
      <c r="B71" s="10">
        <v>2565</v>
      </c>
      <c r="C71" s="11" t="s">
        <v>71</v>
      </c>
      <c r="D71" s="3" t="str">
        <f>VLOOKUP(A71,武将获取途径!$A:$D,4,0)</f>
        <v>珍宝</v>
      </c>
      <c r="G71"/>
    </row>
    <row r="72" spans="1:7" ht="15" x14ac:dyDescent="0.15">
      <c r="A72" s="10" t="s">
        <v>83</v>
      </c>
      <c r="B72" s="10">
        <v>2564</v>
      </c>
      <c r="C72" s="11" t="s">
        <v>71</v>
      </c>
      <c r="D72" s="3" t="str">
        <f>VLOOKUP(A72,武将获取途径!$A:$D,4,0)</f>
        <v>纳贤</v>
      </c>
      <c r="G72"/>
    </row>
    <row r="73" spans="1:7" ht="15" x14ac:dyDescent="0.15">
      <c r="A73" s="10" t="s">
        <v>84</v>
      </c>
      <c r="B73" s="10">
        <v>2560</v>
      </c>
      <c r="C73" s="11" t="s">
        <v>71</v>
      </c>
      <c r="D73" s="3" t="s">
        <v>47</v>
      </c>
      <c r="F73" s="3">
        <v>2000</v>
      </c>
    </row>
    <row r="74" spans="1:7" ht="15" x14ac:dyDescent="0.15">
      <c r="A74" s="10" t="s">
        <v>85</v>
      </c>
      <c r="B74" s="10">
        <v>2558</v>
      </c>
      <c r="C74" s="11" t="s">
        <v>71</v>
      </c>
      <c r="D74" s="3" t="str">
        <f>VLOOKUP(A74,武将获取途径!$A:$D,4,0)</f>
        <v>祈福</v>
      </c>
      <c r="G74"/>
    </row>
    <row r="75" spans="1:7" ht="15" x14ac:dyDescent="0.15">
      <c r="A75" s="10" t="s">
        <v>86</v>
      </c>
      <c r="B75" s="10">
        <v>2556</v>
      </c>
      <c r="C75" s="11" t="s">
        <v>71</v>
      </c>
      <c r="D75" s="3" t="str">
        <f>VLOOKUP(A75,武将获取途径!$A:$D,4,0)</f>
        <v>祈福</v>
      </c>
      <c r="G75"/>
    </row>
    <row r="76" spans="1:7" ht="15" x14ac:dyDescent="0.15">
      <c r="A76" s="10" t="s">
        <v>87</v>
      </c>
      <c r="B76" s="10">
        <v>2555</v>
      </c>
      <c r="C76" s="11" t="s">
        <v>71</v>
      </c>
      <c r="D76" s="3" t="str">
        <f>VLOOKUP(A76,武将获取途径!$A:$D,4,0)</f>
        <v>纳贤</v>
      </c>
      <c r="G76"/>
    </row>
    <row r="77" spans="1:7" ht="15" x14ac:dyDescent="0.15">
      <c r="A77" s="10" t="s">
        <v>88</v>
      </c>
      <c r="B77" s="10">
        <v>2551</v>
      </c>
      <c r="C77" s="11" t="s">
        <v>71</v>
      </c>
      <c r="D77" s="3" t="str">
        <f>VLOOKUP(A77,武将获取途径!$A:$D,4,0)</f>
        <v>纳贤</v>
      </c>
      <c r="G77"/>
    </row>
    <row r="78" spans="1:7" ht="15" x14ac:dyDescent="0.15">
      <c r="A78" s="10" t="s">
        <v>89</v>
      </c>
      <c r="B78" s="10">
        <v>2546</v>
      </c>
      <c r="C78" s="11" t="s">
        <v>71</v>
      </c>
      <c r="D78" s="3" t="str">
        <f>VLOOKUP(A78,武将获取途径!$A:$D,4,0)</f>
        <v>如意签</v>
      </c>
      <c r="G78"/>
    </row>
    <row r="79" spans="1:7" ht="15" x14ac:dyDescent="0.15">
      <c r="A79" s="10" t="s">
        <v>90</v>
      </c>
      <c r="B79" s="10">
        <v>2544</v>
      </c>
      <c r="C79" s="11" t="s">
        <v>71</v>
      </c>
      <c r="D79" s="3" t="s">
        <v>47</v>
      </c>
      <c r="F79" s="3">
        <v>10000</v>
      </c>
    </row>
    <row r="80" spans="1:7" ht="15" x14ac:dyDescent="0.15">
      <c r="A80" s="10" t="s">
        <v>91</v>
      </c>
      <c r="B80" s="10">
        <v>2541</v>
      </c>
      <c r="C80" s="11" t="s">
        <v>71</v>
      </c>
      <c r="D80" s="3" t="str">
        <f>VLOOKUP(A80,武将获取途径!$A:$D,4,0)</f>
        <v>充值奖励</v>
      </c>
      <c r="G80"/>
    </row>
    <row r="81" spans="1:7" ht="15" x14ac:dyDescent="0.15">
      <c r="A81" s="10" t="s">
        <v>92</v>
      </c>
      <c r="B81" s="10">
        <v>2537</v>
      </c>
      <c r="C81" s="11" t="s">
        <v>71</v>
      </c>
      <c r="D81" s="3" t="str">
        <f>VLOOKUP(A81,武将获取途径!$A:$D,4,0)</f>
        <v>祈福</v>
      </c>
      <c r="G81"/>
    </row>
    <row r="82" spans="1:7" ht="15" x14ac:dyDescent="0.15">
      <c r="A82" s="10" t="s">
        <v>93</v>
      </c>
      <c r="B82" s="10">
        <v>2530</v>
      </c>
      <c r="C82" s="11" t="s">
        <v>71</v>
      </c>
      <c r="D82" s="3" t="str">
        <f>VLOOKUP(A82,武将获取途径!$A:$D,4,0)</f>
        <v>纳贤</v>
      </c>
      <c r="G82"/>
    </row>
    <row r="83" spans="1:7" ht="15" x14ac:dyDescent="0.15">
      <c r="A83" s="10" t="s">
        <v>94</v>
      </c>
      <c r="B83" s="10">
        <v>2522</v>
      </c>
      <c r="C83" s="11" t="s">
        <v>71</v>
      </c>
      <c r="D83" s="3" t="str">
        <f>VLOOKUP(A83,武将获取途径!$A:$D,4,0)</f>
        <v>祈福</v>
      </c>
      <c r="G83"/>
    </row>
    <row r="84" spans="1:7" ht="15" x14ac:dyDescent="0.15">
      <c r="A84" s="10" t="s">
        <v>95</v>
      </c>
      <c r="B84" s="10">
        <v>2520</v>
      </c>
      <c r="C84" s="11" t="s">
        <v>71</v>
      </c>
      <c r="D84" s="3" t="str">
        <f>VLOOKUP(A84,武将获取途径!$A:$D,4,0)</f>
        <v>纳贤</v>
      </c>
      <c r="G84"/>
    </row>
    <row r="85" spans="1:7" ht="15" x14ac:dyDescent="0.15">
      <c r="A85" s="10" t="s">
        <v>96</v>
      </c>
      <c r="B85" s="10">
        <v>2518</v>
      </c>
      <c r="C85" s="11" t="s">
        <v>71</v>
      </c>
      <c r="D85" s="3" t="str">
        <f>VLOOKUP(A85,武将获取途径!$A:$D,4,0)</f>
        <v>砸蛋</v>
      </c>
      <c r="G85"/>
    </row>
    <row r="86" spans="1:7" ht="15" x14ac:dyDescent="0.15">
      <c r="A86" s="10" t="s">
        <v>97</v>
      </c>
      <c r="B86" s="10">
        <v>2509</v>
      </c>
      <c r="C86" s="11" t="s">
        <v>71</v>
      </c>
      <c r="D86" s="3" t="str">
        <f>VLOOKUP(A86,武将获取途径!$A:$D,4,0)</f>
        <v>祈福</v>
      </c>
      <c r="G86"/>
    </row>
    <row r="87" spans="1:7" ht="15" x14ac:dyDescent="0.15">
      <c r="A87" s="10" t="s">
        <v>98</v>
      </c>
      <c r="B87" s="10">
        <v>2508</v>
      </c>
      <c r="C87" s="11" t="s">
        <v>71</v>
      </c>
      <c r="D87" s="3" t="str">
        <f>VLOOKUP(A87,武将获取途径!$A:$D,4,0)</f>
        <v>纳贤</v>
      </c>
      <c r="G87"/>
    </row>
    <row r="88" spans="1:7" ht="15" x14ac:dyDescent="0.15">
      <c r="A88" s="10" t="s">
        <v>99</v>
      </c>
      <c r="B88" s="10">
        <v>2505</v>
      </c>
      <c r="C88" s="11" t="s">
        <v>71</v>
      </c>
      <c r="D88" s="3" t="str">
        <f>VLOOKUP(A88,武将获取途径!$A:$D,4,0)</f>
        <v>纳贤</v>
      </c>
      <c r="G88"/>
    </row>
    <row r="89" spans="1:7" ht="15" x14ac:dyDescent="0.15">
      <c r="A89" s="10" t="s">
        <v>100</v>
      </c>
      <c r="B89" s="10">
        <v>2502</v>
      </c>
      <c r="C89" s="11" t="s">
        <v>71</v>
      </c>
      <c r="D89" s="3" t="s">
        <v>47</v>
      </c>
      <c r="F89" s="3">
        <v>2000</v>
      </c>
    </row>
    <row r="90" spans="1:7" ht="15" x14ac:dyDescent="0.15">
      <c r="A90" s="10" t="s">
        <v>101</v>
      </c>
      <c r="B90" s="10">
        <v>2500</v>
      </c>
      <c r="C90" s="11" t="s">
        <v>71</v>
      </c>
      <c r="D90" s="3" t="str">
        <f>VLOOKUP(A90,武将获取途径!$A:$D,4,0)</f>
        <v>喵喵杀</v>
      </c>
    </row>
    <row r="91" spans="1:7" ht="15" x14ac:dyDescent="0.15">
      <c r="A91" s="10" t="s">
        <v>102</v>
      </c>
      <c r="B91" s="10">
        <v>2500</v>
      </c>
      <c r="C91" s="11" t="s">
        <v>71</v>
      </c>
      <c r="D91" s="3" t="str">
        <f>VLOOKUP(A91,武将获取途径!$A:$D,4,0)</f>
        <v>充值奖励</v>
      </c>
      <c r="G91"/>
    </row>
    <row r="92" spans="1:7" ht="15" x14ac:dyDescent="0.15">
      <c r="A92" s="10" t="s">
        <v>103</v>
      </c>
      <c r="B92" s="10">
        <v>2500</v>
      </c>
      <c r="C92" s="11" t="s">
        <v>71</v>
      </c>
      <c r="D92" s="3" t="str">
        <f>VLOOKUP(A92,武将获取途径!$A:$D,4,0)</f>
        <v>纳贤</v>
      </c>
      <c r="G92"/>
    </row>
    <row r="93" spans="1:7" ht="15" x14ac:dyDescent="0.15">
      <c r="A93" s="10" t="s">
        <v>104</v>
      </c>
      <c r="B93" s="10">
        <v>2498</v>
      </c>
      <c r="C93" s="11" t="s">
        <v>71</v>
      </c>
      <c r="D93" s="3" t="s">
        <v>47</v>
      </c>
      <c r="F93" s="3">
        <v>5000</v>
      </c>
    </row>
    <row r="94" spans="1:7" ht="15" x14ac:dyDescent="0.15">
      <c r="A94" s="10" t="s">
        <v>105</v>
      </c>
      <c r="B94" s="10">
        <v>2496</v>
      </c>
      <c r="C94" s="11" t="s">
        <v>71</v>
      </c>
      <c r="D94" s="3" t="s">
        <v>47</v>
      </c>
      <c r="F94" s="3">
        <v>3000</v>
      </c>
    </row>
    <row r="95" spans="1:7" ht="15" x14ac:dyDescent="0.15">
      <c r="A95" s="10" t="s">
        <v>106</v>
      </c>
      <c r="B95" s="10">
        <v>2494</v>
      </c>
      <c r="C95" s="11" t="s">
        <v>71</v>
      </c>
      <c r="D95" s="3" t="s">
        <v>47</v>
      </c>
      <c r="F95" s="3">
        <v>2000</v>
      </c>
    </row>
    <row r="96" spans="1:7" ht="15" x14ac:dyDescent="0.15">
      <c r="A96" s="10" t="s">
        <v>107</v>
      </c>
      <c r="B96" s="10">
        <v>2494</v>
      </c>
      <c r="C96" s="11" t="s">
        <v>71</v>
      </c>
      <c r="D96" s="3" t="str">
        <f>VLOOKUP(A96,武将获取途径!$A:$D,4,0)</f>
        <v>纳贤</v>
      </c>
      <c r="G96"/>
    </row>
    <row r="97" spans="1:7" ht="15" x14ac:dyDescent="0.15">
      <c r="A97" s="10" t="s">
        <v>108</v>
      </c>
      <c r="B97" s="10">
        <v>2494</v>
      </c>
      <c r="C97" s="11" t="s">
        <v>71</v>
      </c>
      <c r="D97" s="3" t="str">
        <f>VLOOKUP(A97,武将获取途径!$A:$D,4,0)</f>
        <v>纳贤</v>
      </c>
      <c r="G97"/>
    </row>
    <row r="98" spans="1:7" ht="15" x14ac:dyDescent="0.15">
      <c r="A98" s="10" t="s">
        <v>109</v>
      </c>
      <c r="B98" s="10">
        <v>2488</v>
      </c>
      <c r="C98" s="11" t="s">
        <v>71</v>
      </c>
      <c r="D98" s="3" t="str">
        <f>VLOOKUP(A98,武将获取途径!$A:$D,4,0)</f>
        <v>珍宝</v>
      </c>
      <c r="G98"/>
    </row>
    <row r="99" spans="1:7" ht="15" x14ac:dyDescent="0.15">
      <c r="A99" s="10" t="s">
        <v>110</v>
      </c>
      <c r="B99" s="10">
        <v>2483</v>
      </c>
      <c r="C99" s="11" t="s">
        <v>71</v>
      </c>
      <c r="D99" s="3" t="str">
        <f>VLOOKUP(A99,武将获取途径!$A:$D,4,0)</f>
        <v>纳贤</v>
      </c>
      <c r="G99"/>
    </row>
    <row r="100" spans="1:7" ht="15" x14ac:dyDescent="0.15">
      <c r="A100" s="10" t="s">
        <v>111</v>
      </c>
      <c r="B100" s="10">
        <v>2481</v>
      </c>
      <c r="C100" s="11" t="s">
        <v>71</v>
      </c>
      <c r="D100" s="3" t="str">
        <f>VLOOKUP(A100,武将获取途径!$A:$D,4,0)</f>
        <v>如意签</v>
      </c>
      <c r="G100"/>
    </row>
    <row r="101" spans="1:7" ht="15" x14ac:dyDescent="0.15">
      <c r="A101" s="10" t="s">
        <v>112</v>
      </c>
      <c r="B101" s="10">
        <v>2480</v>
      </c>
      <c r="C101" s="11" t="s">
        <v>71</v>
      </c>
      <c r="D101" s="3" t="str">
        <f>VLOOKUP(A101,武将获取途径!$A:$D,4,0)</f>
        <v>宝玉兑换</v>
      </c>
      <c r="G101"/>
    </row>
    <row r="102" spans="1:7" ht="15" x14ac:dyDescent="0.15">
      <c r="A102" s="10" t="s">
        <v>113</v>
      </c>
      <c r="B102" s="10">
        <v>2476</v>
      </c>
      <c r="C102" s="11" t="s">
        <v>71</v>
      </c>
      <c r="D102" s="3" t="s">
        <v>47</v>
      </c>
      <c r="F102" s="3">
        <v>1500</v>
      </c>
    </row>
    <row r="103" spans="1:7" ht="15" x14ac:dyDescent="0.15">
      <c r="A103" s="10" t="s">
        <v>114</v>
      </c>
      <c r="B103" s="10">
        <v>2471</v>
      </c>
      <c r="C103" s="11" t="s">
        <v>71</v>
      </c>
      <c r="D103" s="3" t="str">
        <f>VLOOKUP(A103,武将获取途径!$A:$D,4,0)</f>
        <v>活跃</v>
      </c>
    </row>
    <row r="104" spans="1:7" ht="15" x14ac:dyDescent="0.15">
      <c r="A104" s="10" t="s">
        <v>115</v>
      </c>
      <c r="B104" s="10">
        <v>2466</v>
      </c>
      <c r="C104" s="11" t="s">
        <v>71</v>
      </c>
      <c r="D104" s="3" t="s">
        <v>47</v>
      </c>
      <c r="F104" s="3">
        <v>2000</v>
      </c>
    </row>
    <row r="105" spans="1:7" ht="15" x14ac:dyDescent="0.15">
      <c r="A105" s="66" t="s">
        <v>116</v>
      </c>
      <c r="B105" s="10">
        <v>2456</v>
      </c>
      <c r="C105" s="11" t="s">
        <v>71</v>
      </c>
      <c r="D105" s="3" t="e">
        <f>VLOOKUP(A105,武将获取途径!$A:$D,4,0)</f>
        <v>#N/A</v>
      </c>
    </row>
    <row r="106" spans="1:7" ht="15" x14ac:dyDescent="0.15">
      <c r="A106" s="10" t="s">
        <v>117</v>
      </c>
      <c r="B106" s="10">
        <v>2455</v>
      </c>
      <c r="C106" s="11" t="s">
        <v>71</v>
      </c>
      <c r="D106" s="3" t="str">
        <f>VLOOKUP(A106,武将获取途径!$A:$D,4,0)</f>
        <v>珍宝</v>
      </c>
      <c r="G106"/>
    </row>
    <row r="107" spans="1:7" ht="15" x14ac:dyDescent="0.15">
      <c r="A107" s="10" t="s">
        <v>118</v>
      </c>
      <c r="B107" s="10">
        <v>2400</v>
      </c>
      <c r="C107" s="11" t="s">
        <v>71</v>
      </c>
      <c r="D107" s="3" t="str">
        <f>VLOOKUP(A107,武将获取途径!$A:$D,4,0)</f>
        <v>如意签</v>
      </c>
      <c r="G107"/>
    </row>
    <row r="108" spans="1:7" ht="15" x14ac:dyDescent="0.15">
      <c r="A108" s="10" t="s">
        <v>119</v>
      </c>
      <c r="B108" s="10">
        <v>2400</v>
      </c>
      <c r="C108" s="11" t="s">
        <v>71</v>
      </c>
      <c r="D108" s="3" t="str">
        <f>VLOOKUP(A108,武将获取途径!$A:$D,4,0)</f>
        <v>纳贤</v>
      </c>
      <c r="G108"/>
    </row>
    <row r="109" spans="1:7" ht="15" x14ac:dyDescent="0.15">
      <c r="A109" s="6" t="s">
        <v>120</v>
      </c>
      <c r="B109" s="6">
        <v>2398</v>
      </c>
      <c r="C109" s="7" t="s">
        <v>121</v>
      </c>
      <c r="D109" s="3" t="str">
        <f>VLOOKUP(A109,武将获取途径!$A:$D,4,0)</f>
        <v>纳贤</v>
      </c>
      <c r="G109"/>
    </row>
    <row r="110" spans="1:7" ht="15" x14ac:dyDescent="0.15">
      <c r="A110" s="6" t="s">
        <v>122</v>
      </c>
      <c r="B110" s="6">
        <v>2397</v>
      </c>
      <c r="C110" s="7" t="s">
        <v>121</v>
      </c>
      <c r="D110" s="3" t="str">
        <f>VLOOKUP(A110,武将获取途径!$A:$D,4,0)</f>
        <v>纳贤</v>
      </c>
      <c r="G110"/>
    </row>
    <row r="111" spans="1:7" ht="15" x14ac:dyDescent="0.15">
      <c r="A111" s="6" t="s">
        <v>123</v>
      </c>
      <c r="B111" s="6">
        <v>2397</v>
      </c>
      <c r="C111" s="7" t="s">
        <v>121</v>
      </c>
      <c r="D111" s="3" t="str">
        <f>VLOOKUP(A111,武将获取途径!$A:$D,4,0)</f>
        <v>宝玉兑换</v>
      </c>
      <c r="G111"/>
    </row>
    <row r="112" spans="1:7" ht="15" x14ac:dyDescent="0.15">
      <c r="A112" s="6" t="s">
        <v>124</v>
      </c>
      <c r="B112" s="6">
        <v>2388</v>
      </c>
      <c r="C112" s="7" t="s">
        <v>121</v>
      </c>
      <c r="D112" s="3" t="str">
        <f>VLOOKUP(A112,武将获取途径!$A:$D,4,0)</f>
        <v>纳贤</v>
      </c>
      <c r="G112"/>
    </row>
    <row r="113" spans="1:7" ht="15" x14ac:dyDescent="0.15">
      <c r="A113" s="6" t="s">
        <v>125</v>
      </c>
      <c r="B113" s="6">
        <v>2386</v>
      </c>
      <c r="C113" s="7" t="s">
        <v>121</v>
      </c>
      <c r="D113" s="3" t="str">
        <f>VLOOKUP(A113,武将获取途径!$A:$D,4,0)</f>
        <v>充值奖励</v>
      </c>
      <c r="G113"/>
    </row>
    <row r="114" spans="1:7" ht="15" x14ac:dyDescent="0.15">
      <c r="A114" s="6" t="s">
        <v>126</v>
      </c>
      <c r="B114" s="6">
        <v>2385</v>
      </c>
      <c r="C114" s="7" t="s">
        <v>121</v>
      </c>
      <c r="D114" s="3" t="str">
        <f>VLOOKUP(A114,武将获取途径!$A:$D,4,0)</f>
        <v>纳贤</v>
      </c>
      <c r="G114"/>
    </row>
    <row r="115" spans="1:7" ht="15" x14ac:dyDescent="0.15">
      <c r="A115" s="6" t="s">
        <v>127</v>
      </c>
      <c r="B115" s="6">
        <v>2382</v>
      </c>
      <c r="C115" s="7" t="s">
        <v>121</v>
      </c>
      <c r="D115" s="3" t="s">
        <v>128</v>
      </c>
      <c r="F115" s="3" t="s">
        <v>129</v>
      </c>
      <c r="G115"/>
    </row>
    <row r="116" spans="1:7" ht="15" x14ac:dyDescent="0.15">
      <c r="A116" s="6" t="s">
        <v>130</v>
      </c>
      <c r="B116" s="6">
        <v>2378</v>
      </c>
      <c r="C116" s="7" t="s">
        <v>121</v>
      </c>
      <c r="D116" s="3" t="s">
        <v>47</v>
      </c>
      <c r="F116" s="3">
        <v>2000</v>
      </c>
    </row>
    <row r="117" spans="1:7" ht="15" x14ac:dyDescent="0.15">
      <c r="A117" s="6" t="s">
        <v>131</v>
      </c>
      <c r="B117" s="6">
        <v>2375</v>
      </c>
      <c r="C117" s="7" t="s">
        <v>121</v>
      </c>
      <c r="D117" s="3" t="str">
        <f>VLOOKUP(A117,武将获取途径!$A:$D,4,0)</f>
        <v>充值奖励</v>
      </c>
      <c r="G117"/>
    </row>
    <row r="118" spans="1:7" ht="15" x14ac:dyDescent="0.15">
      <c r="A118" s="6" t="s">
        <v>132</v>
      </c>
      <c r="B118" s="6">
        <v>2373</v>
      </c>
      <c r="C118" s="7" t="s">
        <v>121</v>
      </c>
      <c r="D118" s="3" t="str">
        <f>VLOOKUP(A118,武将获取途径!$A:$D,4,0)</f>
        <v>如意签</v>
      </c>
      <c r="G118"/>
    </row>
    <row r="119" spans="1:7" ht="15" x14ac:dyDescent="0.15">
      <c r="A119" s="6" t="s">
        <v>133</v>
      </c>
      <c r="B119" s="6">
        <v>2372</v>
      </c>
      <c r="C119" s="7" t="s">
        <v>121</v>
      </c>
      <c r="D119" s="3" t="str">
        <f>VLOOKUP(A119,武将获取途径!$A:$D,4,0)</f>
        <v>充值奖励</v>
      </c>
      <c r="G119"/>
    </row>
    <row r="120" spans="1:7" ht="15" x14ac:dyDescent="0.15">
      <c r="A120" s="6" t="s">
        <v>134</v>
      </c>
      <c r="B120" s="6">
        <v>2372</v>
      </c>
      <c r="C120" s="7" t="s">
        <v>121</v>
      </c>
      <c r="D120" s="3" t="str">
        <f>VLOOKUP(A120,武将获取途径!$A:$D,4,0)</f>
        <v>纳贤</v>
      </c>
      <c r="G120"/>
    </row>
    <row r="121" spans="1:7" ht="15" x14ac:dyDescent="0.15">
      <c r="A121" s="6" t="s">
        <v>135</v>
      </c>
      <c r="B121" s="6">
        <v>2365</v>
      </c>
      <c r="C121" s="7" t="s">
        <v>121</v>
      </c>
      <c r="D121" s="3" t="str">
        <f>VLOOKUP(A121,武将获取途径!$A:$D,4,0)</f>
        <v>宝玉兑换</v>
      </c>
      <c r="G121"/>
    </row>
    <row r="122" spans="1:7" ht="15" x14ac:dyDescent="0.15">
      <c r="A122" s="6" t="s">
        <v>136</v>
      </c>
      <c r="B122" s="6">
        <v>2363</v>
      </c>
      <c r="C122" s="7" t="s">
        <v>121</v>
      </c>
      <c r="D122" s="3" t="s">
        <v>47</v>
      </c>
      <c r="F122" s="3">
        <v>1000</v>
      </c>
    </row>
    <row r="123" spans="1:7" ht="15" x14ac:dyDescent="0.15">
      <c r="A123" s="6" t="s">
        <v>137</v>
      </c>
      <c r="B123" s="6">
        <v>2360</v>
      </c>
      <c r="C123" s="7" t="s">
        <v>121</v>
      </c>
      <c r="D123" s="3" t="str">
        <f>VLOOKUP(A123,武将获取途径!$A:$D,4,0)</f>
        <v>纳贤</v>
      </c>
      <c r="G123"/>
    </row>
    <row r="124" spans="1:7" ht="15" x14ac:dyDescent="0.15">
      <c r="A124" s="6" t="s">
        <v>138</v>
      </c>
      <c r="B124" s="6">
        <v>2356</v>
      </c>
      <c r="C124" s="7" t="s">
        <v>121</v>
      </c>
      <c r="D124" s="3" t="str">
        <f>VLOOKUP(A124,武将获取途径!$A:$D,4,0)</f>
        <v>纳贤</v>
      </c>
      <c r="G124"/>
    </row>
    <row r="125" spans="1:7" ht="15" x14ac:dyDescent="0.15">
      <c r="A125" s="6" t="s">
        <v>139</v>
      </c>
      <c r="B125" s="6">
        <v>2353</v>
      </c>
      <c r="C125" s="7" t="s">
        <v>121</v>
      </c>
      <c r="D125" s="3" t="s">
        <v>47</v>
      </c>
      <c r="F125" s="3">
        <v>3000</v>
      </c>
    </row>
    <row r="126" spans="1:7" ht="15" x14ac:dyDescent="0.15">
      <c r="A126" s="6" t="s">
        <v>140</v>
      </c>
      <c r="B126" s="6">
        <v>2349</v>
      </c>
      <c r="C126" s="7" t="s">
        <v>121</v>
      </c>
      <c r="D126" s="3" t="str">
        <f>VLOOKUP(A126,武将获取途径!$A:$D,4,0)</f>
        <v>祈福</v>
      </c>
      <c r="G126"/>
    </row>
    <row r="127" spans="1:7" ht="15" x14ac:dyDescent="0.15">
      <c r="A127" s="6" t="s">
        <v>141</v>
      </c>
      <c r="B127" s="6">
        <v>2348</v>
      </c>
      <c r="C127" s="7" t="s">
        <v>121</v>
      </c>
      <c r="D127" s="3" t="str">
        <f>VLOOKUP(A127,武将获取途径!$A:$D,4,0)</f>
        <v>砸蛋</v>
      </c>
      <c r="G127"/>
    </row>
    <row r="128" spans="1:7" ht="15" x14ac:dyDescent="0.15">
      <c r="A128" s="6" t="s">
        <v>142</v>
      </c>
      <c r="B128" s="6">
        <v>2348</v>
      </c>
      <c r="C128" s="7" t="s">
        <v>121</v>
      </c>
      <c r="D128" s="3" t="str">
        <f>VLOOKUP(A128,武将获取途径!$A:$D,4,0)</f>
        <v>祈福</v>
      </c>
      <c r="G128"/>
    </row>
    <row r="129" spans="1:7" ht="15" x14ac:dyDescent="0.15">
      <c r="A129" s="6" t="s">
        <v>143</v>
      </c>
      <c r="B129" s="6">
        <v>2347</v>
      </c>
      <c r="C129" s="7" t="s">
        <v>121</v>
      </c>
      <c r="D129" s="3" t="str">
        <f>VLOOKUP(A129,武将获取途径!$A:$D,4,0)</f>
        <v>纳贤</v>
      </c>
      <c r="G129"/>
    </row>
    <row r="130" spans="1:7" ht="15" x14ac:dyDescent="0.15">
      <c r="A130" s="6" t="s">
        <v>144</v>
      </c>
      <c r="B130" s="6">
        <v>2345</v>
      </c>
      <c r="C130" s="7" t="s">
        <v>121</v>
      </c>
      <c r="D130" s="3" t="s">
        <v>47</v>
      </c>
      <c r="F130" s="3">
        <v>1000</v>
      </c>
    </row>
    <row r="131" spans="1:7" ht="15" x14ac:dyDescent="0.15">
      <c r="A131" s="6" t="s">
        <v>145</v>
      </c>
      <c r="B131" s="6">
        <v>2344</v>
      </c>
      <c r="C131" s="7" t="s">
        <v>121</v>
      </c>
      <c r="D131" s="3" t="str">
        <f>VLOOKUP(A131,武将获取途径!$A:$D,4,0)</f>
        <v>纳贤</v>
      </c>
      <c r="G131"/>
    </row>
    <row r="132" spans="1:7" ht="15" x14ac:dyDescent="0.15">
      <c r="A132" s="6" t="s">
        <v>146</v>
      </c>
      <c r="B132" s="6">
        <v>2342</v>
      </c>
      <c r="C132" s="7" t="s">
        <v>121</v>
      </c>
      <c r="D132" s="3" t="s">
        <v>47</v>
      </c>
      <c r="F132" s="3">
        <v>10000</v>
      </c>
    </row>
    <row r="133" spans="1:7" ht="15" x14ac:dyDescent="0.15">
      <c r="A133" s="6" t="s">
        <v>147</v>
      </c>
      <c r="B133" s="6">
        <v>2337</v>
      </c>
      <c r="C133" s="7" t="s">
        <v>121</v>
      </c>
      <c r="D133" s="3" t="s">
        <v>47</v>
      </c>
      <c r="F133" s="3">
        <v>6000</v>
      </c>
    </row>
    <row r="134" spans="1:7" ht="15" x14ac:dyDescent="0.15">
      <c r="A134" s="6" t="s">
        <v>148</v>
      </c>
      <c r="B134" s="6">
        <v>2334</v>
      </c>
      <c r="C134" s="7" t="s">
        <v>121</v>
      </c>
      <c r="D134" s="3" t="str">
        <f>VLOOKUP(A134,武将获取途径!$A:$D,4,0)</f>
        <v>纳贤</v>
      </c>
      <c r="G134"/>
    </row>
    <row r="135" spans="1:7" ht="15" x14ac:dyDescent="0.15">
      <c r="A135" s="6" t="s">
        <v>149</v>
      </c>
      <c r="B135" s="6">
        <v>2331</v>
      </c>
      <c r="C135" s="7" t="s">
        <v>121</v>
      </c>
      <c r="D135" s="3" t="s">
        <v>150</v>
      </c>
      <c r="F135" s="3" t="s">
        <v>151</v>
      </c>
      <c r="G135" s="3" t="s">
        <v>152</v>
      </c>
    </row>
    <row r="136" spans="1:7" ht="15" x14ac:dyDescent="0.15">
      <c r="A136" s="6" t="s">
        <v>153</v>
      </c>
      <c r="B136" s="6">
        <v>2329</v>
      </c>
      <c r="C136" s="7" t="s">
        <v>121</v>
      </c>
      <c r="D136" s="3" t="s">
        <v>47</v>
      </c>
      <c r="F136" s="3">
        <v>3000</v>
      </c>
    </row>
    <row r="137" spans="1:7" ht="15" x14ac:dyDescent="0.15">
      <c r="A137" s="6" t="s">
        <v>154</v>
      </c>
      <c r="B137" s="6">
        <v>2326</v>
      </c>
      <c r="C137" s="7" t="s">
        <v>121</v>
      </c>
      <c r="D137" s="3" t="str">
        <f>VLOOKUP(A137,武将获取途径!$A:$D,4,0)</f>
        <v>纳贤</v>
      </c>
      <c r="G137"/>
    </row>
    <row r="138" spans="1:7" ht="15" x14ac:dyDescent="0.15">
      <c r="A138" s="6" t="s">
        <v>155</v>
      </c>
      <c r="B138" s="6">
        <v>2323</v>
      </c>
      <c r="C138" s="7" t="s">
        <v>121</v>
      </c>
      <c r="D138" s="3" t="str">
        <f>VLOOKUP(A138,武将获取途径!$A:$D,4,0)</f>
        <v>纳贤</v>
      </c>
      <c r="G138"/>
    </row>
    <row r="139" spans="1:7" ht="15" x14ac:dyDescent="0.15">
      <c r="A139" s="6" t="s">
        <v>156</v>
      </c>
      <c r="B139" s="6">
        <v>2322</v>
      </c>
      <c r="C139" s="7" t="s">
        <v>121</v>
      </c>
      <c r="D139" s="3" t="str">
        <f>VLOOKUP(A139,武将获取途径!$A:$D,4,0)</f>
        <v>纳贤</v>
      </c>
      <c r="G139"/>
    </row>
    <row r="140" spans="1:7" ht="15" x14ac:dyDescent="0.15">
      <c r="A140" s="6" t="s">
        <v>157</v>
      </c>
      <c r="B140" s="6">
        <v>2322</v>
      </c>
      <c r="C140" s="7" t="s">
        <v>121</v>
      </c>
      <c r="D140" s="3" t="str">
        <f>VLOOKUP(A140,武将获取途径!$A:$D,4,0)</f>
        <v>纳贤</v>
      </c>
      <c r="G140"/>
    </row>
    <row r="141" spans="1:7" ht="15" x14ac:dyDescent="0.15">
      <c r="A141" s="6" t="s">
        <v>158</v>
      </c>
      <c r="B141" s="6">
        <v>2321</v>
      </c>
      <c r="C141" s="7" t="s">
        <v>121</v>
      </c>
      <c r="D141" s="3" t="s">
        <v>47</v>
      </c>
      <c r="F141" s="3">
        <v>2000</v>
      </c>
    </row>
    <row r="142" spans="1:7" ht="15" x14ac:dyDescent="0.15">
      <c r="A142" s="6" t="s">
        <v>159</v>
      </c>
      <c r="B142" s="6">
        <v>2320</v>
      </c>
      <c r="C142" s="7" t="s">
        <v>121</v>
      </c>
      <c r="D142" s="3" t="str">
        <f>VLOOKUP(A142,武将获取途径!$A:$D,4,0)</f>
        <v>如意签</v>
      </c>
      <c r="G142"/>
    </row>
    <row r="143" spans="1:7" ht="15" x14ac:dyDescent="0.15">
      <c r="A143" s="6" t="s">
        <v>160</v>
      </c>
      <c r="B143" s="6">
        <v>2318</v>
      </c>
      <c r="C143" s="7" t="s">
        <v>121</v>
      </c>
      <c r="D143" s="3" t="str">
        <f>VLOOKUP(A143,武将获取途径!$A:$D,4,0)</f>
        <v>如意签</v>
      </c>
      <c r="G143"/>
    </row>
    <row r="144" spans="1:7" ht="15" x14ac:dyDescent="0.15">
      <c r="A144" s="6" t="s">
        <v>161</v>
      </c>
      <c r="B144" s="6">
        <v>2313</v>
      </c>
      <c r="C144" s="7" t="s">
        <v>121</v>
      </c>
      <c r="D144" s="3" t="e">
        <f>VLOOKUP(A144,武将获取途径!$A:$D,4,0)</f>
        <v>#N/A</v>
      </c>
    </row>
    <row r="145" spans="1:7" ht="15" x14ac:dyDescent="0.15">
      <c r="A145" s="6" t="s">
        <v>162</v>
      </c>
      <c r="B145" s="6">
        <v>2312</v>
      </c>
      <c r="C145" s="7" t="s">
        <v>121</v>
      </c>
      <c r="D145" s="3" t="str">
        <f>VLOOKUP(A145,武将获取途径!$A:$D,4,0)</f>
        <v>纳贤</v>
      </c>
      <c r="G145"/>
    </row>
    <row r="146" spans="1:7" ht="15" x14ac:dyDescent="0.15">
      <c r="A146" s="6" t="s">
        <v>163</v>
      </c>
      <c r="B146" s="6">
        <v>2312</v>
      </c>
      <c r="C146" s="7" t="s">
        <v>121</v>
      </c>
      <c r="D146" s="3" t="str">
        <f>VLOOKUP(A146,武将获取途径!$A:$D,4,0)</f>
        <v>纳贤</v>
      </c>
      <c r="G146"/>
    </row>
    <row r="147" spans="1:7" ht="15" x14ac:dyDescent="0.15">
      <c r="A147" s="6" t="s">
        <v>164</v>
      </c>
      <c r="B147" s="6">
        <v>2305</v>
      </c>
      <c r="C147" s="7" t="s">
        <v>121</v>
      </c>
      <c r="D147" s="3" t="str">
        <f>VLOOKUP(A147,武将获取途径!$A:$D,4,0)</f>
        <v>纳贤</v>
      </c>
      <c r="G147"/>
    </row>
    <row r="148" spans="1:7" ht="15" x14ac:dyDescent="0.15">
      <c r="A148" s="6" t="s">
        <v>165</v>
      </c>
      <c r="B148" s="6">
        <v>2304</v>
      </c>
      <c r="C148" s="7" t="s">
        <v>121</v>
      </c>
      <c r="D148" s="3" t="str">
        <f>VLOOKUP(A148,武将获取途径!$A:$D,4,0)</f>
        <v>祈福</v>
      </c>
      <c r="G148"/>
    </row>
    <row r="149" spans="1:7" ht="15" x14ac:dyDescent="0.15">
      <c r="A149" s="6" t="s">
        <v>166</v>
      </c>
      <c r="B149" s="6">
        <v>2300</v>
      </c>
      <c r="C149" s="7" t="s">
        <v>121</v>
      </c>
      <c r="D149" s="3" t="str">
        <f>VLOOKUP(A149,武将获取途径!$A:$D,4,0)</f>
        <v>如意签</v>
      </c>
      <c r="G149"/>
    </row>
    <row r="150" spans="1:7" ht="15" x14ac:dyDescent="0.15">
      <c r="A150" s="6" t="s">
        <v>167</v>
      </c>
      <c r="B150" s="6">
        <v>2299</v>
      </c>
      <c r="C150" s="7" t="s">
        <v>121</v>
      </c>
      <c r="D150" s="3" t="str">
        <f>VLOOKUP(A150,武将获取途径!$A:$D,4,0)</f>
        <v>纳贤</v>
      </c>
      <c r="G150"/>
    </row>
    <row r="151" spans="1:7" ht="15" x14ac:dyDescent="0.15">
      <c r="A151" s="6" t="s">
        <v>168</v>
      </c>
      <c r="B151" s="6">
        <v>2293</v>
      </c>
      <c r="C151" s="7" t="s">
        <v>121</v>
      </c>
      <c r="D151" s="3" t="str">
        <f>VLOOKUP(A151,武将获取途径!$A:$D,4,0)</f>
        <v>纳贤</v>
      </c>
      <c r="G151"/>
    </row>
    <row r="152" spans="1:7" ht="15" x14ac:dyDescent="0.15">
      <c r="A152" s="6" t="s">
        <v>169</v>
      </c>
      <c r="B152" s="6">
        <v>2286</v>
      </c>
      <c r="C152" s="7" t="s">
        <v>121</v>
      </c>
      <c r="D152" s="3" t="s">
        <v>47</v>
      </c>
      <c r="F152" s="3">
        <v>10000</v>
      </c>
    </row>
    <row r="153" spans="1:7" ht="15" x14ac:dyDescent="0.15">
      <c r="A153" s="6" t="s">
        <v>170</v>
      </c>
      <c r="B153" s="6">
        <v>2286</v>
      </c>
      <c r="C153" s="7" t="s">
        <v>121</v>
      </c>
      <c r="D153" s="3" t="s">
        <v>47</v>
      </c>
      <c r="F153" s="3">
        <v>2000</v>
      </c>
    </row>
    <row r="154" spans="1:7" ht="15" x14ac:dyDescent="0.15">
      <c r="A154" s="6" t="s">
        <v>171</v>
      </c>
      <c r="B154" s="6">
        <v>2280</v>
      </c>
      <c r="C154" s="7" t="s">
        <v>121</v>
      </c>
      <c r="D154" s="3" t="s">
        <v>47</v>
      </c>
      <c r="F154" s="3">
        <v>5000</v>
      </c>
    </row>
    <row r="155" spans="1:7" ht="15" x14ac:dyDescent="0.15">
      <c r="A155" s="6" t="s">
        <v>172</v>
      </c>
      <c r="B155" s="6">
        <v>2279</v>
      </c>
      <c r="C155" s="7" t="s">
        <v>121</v>
      </c>
      <c r="D155" s="3" t="str">
        <f>VLOOKUP(A155,武将获取途径!$A:$D,4,0)</f>
        <v>纳贤</v>
      </c>
      <c r="G155"/>
    </row>
    <row r="156" spans="1:7" ht="15" x14ac:dyDescent="0.15">
      <c r="A156" s="6" t="s">
        <v>173</v>
      </c>
      <c r="B156" s="6">
        <v>2276</v>
      </c>
      <c r="C156" s="7" t="s">
        <v>121</v>
      </c>
      <c r="D156" s="3" t="s">
        <v>47</v>
      </c>
      <c r="F156" s="3">
        <v>6000</v>
      </c>
    </row>
    <row r="157" spans="1:7" ht="15" x14ac:dyDescent="0.15">
      <c r="A157" s="6" t="s">
        <v>174</v>
      </c>
      <c r="B157" s="6">
        <v>2274</v>
      </c>
      <c r="C157" s="7" t="s">
        <v>121</v>
      </c>
      <c r="D157" s="3" t="s">
        <v>47</v>
      </c>
      <c r="F157" s="3">
        <v>2000</v>
      </c>
    </row>
    <row r="158" spans="1:7" ht="15" x14ac:dyDescent="0.15">
      <c r="A158" s="6" t="s">
        <v>175</v>
      </c>
      <c r="B158" s="6">
        <v>2273</v>
      </c>
      <c r="C158" s="7" t="s">
        <v>121</v>
      </c>
      <c r="D158" s="3" t="s">
        <v>47</v>
      </c>
      <c r="F158" s="3">
        <v>1500</v>
      </c>
    </row>
    <row r="159" spans="1:7" ht="15" x14ac:dyDescent="0.15">
      <c r="A159" s="6" t="s">
        <v>176</v>
      </c>
      <c r="B159" s="6">
        <v>2242</v>
      </c>
      <c r="C159" s="7" t="s">
        <v>121</v>
      </c>
      <c r="D159" s="3" t="s">
        <v>47</v>
      </c>
      <c r="F159" s="3">
        <v>1000</v>
      </c>
    </row>
    <row r="160" spans="1:7" ht="15" x14ac:dyDescent="0.15">
      <c r="A160" s="6" t="s">
        <v>177</v>
      </c>
      <c r="B160" s="6">
        <v>2241</v>
      </c>
      <c r="C160" s="7" t="s">
        <v>121</v>
      </c>
      <c r="D160" s="3" t="str">
        <f>VLOOKUP(A160,武将获取途径!$A:$D,4,0)</f>
        <v>纳贤</v>
      </c>
      <c r="G160"/>
    </row>
    <row r="161" spans="1:7" ht="15" x14ac:dyDescent="0.15">
      <c r="A161" s="6" t="s">
        <v>178</v>
      </c>
      <c r="B161" s="6">
        <v>2211</v>
      </c>
      <c r="C161" s="7" t="s">
        <v>121</v>
      </c>
      <c r="D161" s="3" t="str">
        <f>VLOOKUP(A161,武将获取途径!$A:$D,4,0)</f>
        <v>纳贤</v>
      </c>
      <c r="G161"/>
    </row>
    <row r="162" spans="1:7" ht="15" x14ac:dyDescent="0.15">
      <c r="A162" s="6" t="s">
        <v>179</v>
      </c>
      <c r="B162" s="6">
        <v>2206</v>
      </c>
      <c r="C162" s="7" t="s">
        <v>121</v>
      </c>
      <c r="D162" s="3" t="str">
        <f>VLOOKUP(A162,武将获取途径!$A:$D,4,0)</f>
        <v>充值奖励</v>
      </c>
      <c r="G162"/>
    </row>
    <row r="163" spans="1:7" ht="15" x14ac:dyDescent="0.15">
      <c r="A163" s="6" t="s">
        <v>180</v>
      </c>
      <c r="B163" s="6">
        <v>2200</v>
      </c>
      <c r="C163" s="7" t="s">
        <v>121</v>
      </c>
      <c r="D163" s="3" t="str">
        <f>VLOOKUP(A163,武将获取途径!$A:$D,4,0)</f>
        <v>纳贤</v>
      </c>
      <c r="G163"/>
    </row>
    <row r="164" spans="1:7" ht="15" x14ac:dyDescent="0.15">
      <c r="A164" s="1" t="s">
        <v>181</v>
      </c>
      <c r="B164" s="1">
        <v>2197</v>
      </c>
      <c r="C164" s="2" t="s">
        <v>182</v>
      </c>
      <c r="D164" s="3" t="str">
        <f>VLOOKUP(A164,武将获取途径!$A:$D,4,0)</f>
        <v>纳贤</v>
      </c>
      <c r="G164"/>
    </row>
    <row r="165" spans="1:7" ht="15" x14ac:dyDescent="0.15">
      <c r="A165" s="1" t="s">
        <v>183</v>
      </c>
      <c r="B165" s="1">
        <v>2194</v>
      </c>
      <c r="C165" s="2" t="s">
        <v>182</v>
      </c>
      <c r="D165" s="3" t="str">
        <f>VLOOKUP(A165,武将获取途径!$A:$D,4,0)</f>
        <v>活跃活动</v>
      </c>
      <c r="F165" s="3" t="s">
        <v>184</v>
      </c>
    </row>
    <row r="166" spans="1:7" ht="15" x14ac:dyDescent="0.15">
      <c r="A166" s="1" t="s">
        <v>185</v>
      </c>
      <c r="B166" s="1">
        <v>2194</v>
      </c>
      <c r="C166" s="2" t="s">
        <v>182</v>
      </c>
      <c r="D166" s="3" t="str">
        <f>VLOOKUP(A166,武将获取途径!$A:$D,4,0)</f>
        <v>如意签</v>
      </c>
      <c r="G166"/>
    </row>
    <row r="167" spans="1:7" ht="15" x14ac:dyDescent="0.15">
      <c r="A167" s="1" t="s">
        <v>186</v>
      </c>
      <c r="B167" s="1">
        <v>2193</v>
      </c>
      <c r="C167" s="2" t="s">
        <v>182</v>
      </c>
      <c r="D167" s="3" t="s">
        <v>47</v>
      </c>
      <c r="F167" s="3">
        <v>2000</v>
      </c>
    </row>
    <row r="168" spans="1:7" ht="15" x14ac:dyDescent="0.15">
      <c r="A168" s="1" t="s">
        <v>187</v>
      </c>
      <c r="B168" s="1">
        <v>2190</v>
      </c>
      <c r="C168" s="2" t="s">
        <v>182</v>
      </c>
      <c r="D168" s="3" t="s">
        <v>47</v>
      </c>
      <c r="F168" s="3">
        <v>3000</v>
      </c>
    </row>
    <row r="169" spans="1:7" ht="15" x14ac:dyDescent="0.15">
      <c r="A169" s="1" t="s">
        <v>188</v>
      </c>
      <c r="B169" s="1">
        <v>2187</v>
      </c>
      <c r="C169" s="2" t="s">
        <v>182</v>
      </c>
      <c r="D169" s="3" t="s">
        <v>47</v>
      </c>
      <c r="F169" s="3">
        <v>1000</v>
      </c>
      <c r="G169" s="3" t="s">
        <v>189</v>
      </c>
    </row>
    <row r="170" spans="1:7" ht="15" x14ac:dyDescent="0.15">
      <c r="A170" s="1" t="s">
        <v>190</v>
      </c>
      <c r="B170" s="1">
        <v>2187</v>
      </c>
      <c r="C170" s="2" t="s">
        <v>182</v>
      </c>
      <c r="D170" s="3" t="str">
        <f>VLOOKUP(A170,武将获取途径!$A:$D,4,0)</f>
        <v>纳贤</v>
      </c>
      <c r="G170"/>
    </row>
    <row r="171" spans="1:7" ht="15" x14ac:dyDescent="0.15">
      <c r="A171" s="1" t="s">
        <v>191</v>
      </c>
      <c r="B171" s="1">
        <v>2186</v>
      </c>
      <c r="C171" s="2" t="s">
        <v>182</v>
      </c>
      <c r="D171" s="3" t="str">
        <f>VLOOKUP(A171,武将获取途径!$A:$D,4,0)</f>
        <v>如意签</v>
      </c>
      <c r="G171"/>
    </row>
    <row r="172" spans="1:7" ht="15" x14ac:dyDescent="0.15">
      <c r="A172" s="1" t="s">
        <v>192</v>
      </c>
      <c r="B172" s="1">
        <v>2179</v>
      </c>
      <c r="C172" s="2" t="s">
        <v>182</v>
      </c>
      <c r="D172" s="3" t="str">
        <f>VLOOKUP(A172,武将获取途径!$A:$D,4,0)</f>
        <v>珍宝</v>
      </c>
      <c r="G172"/>
    </row>
    <row r="173" spans="1:7" ht="15" x14ac:dyDescent="0.15">
      <c r="A173" s="1" t="s">
        <v>193</v>
      </c>
      <c r="B173" s="1">
        <v>2178</v>
      </c>
      <c r="C173" s="2" t="s">
        <v>182</v>
      </c>
      <c r="D173" s="3" t="s">
        <v>47</v>
      </c>
      <c r="F173" s="3">
        <v>3000</v>
      </c>
    </row>
    <row r="174" spans="1:7" ht="15" x14ac:dyDescent="0.15">
      <c r="A174" s="1" t="s">
        <v>194</v>
      </c>
      <c r="B174" s="1">
        <v>2177</v>
      </c>
      <c r="C174" s="2" t="s">
        <v>182</v>
      </c>
      <c r="D174" s="3" t="str">
        <f>VLOOKUP(A174,武将获取途径!$A:$D,4,0)</f>
        <v>纳贤</v>
      </c>
      <c r="G174"/>
    </row>
    <row r="175" spans="1:7" ht="15" x14ac:dyDescent="0.15">
      <c r="A175" s="1" t="s">
        <v>195</v>
      </c>
      <c r="B175" s="1">
        <v>2176</v>
      </c>
      <c r="C175" s="2" t="s">
        <v>182</v>
      </c>
      <c r="D175" s="3" t="s">
        <v>150</v>
      </c>
      <c r="F175" s="3" t="s">
        <v>151</v>
      </c>
      <c r="G175" s="3" t="s">
        <v>196</v>
      </c>
    </row>
    <row r="176" spans="1:7" ht="15" x14ac:dyDescent="0.15">
      <c r="A176" s="1" t="s">
        <v>197</v>
      </c>
      <c r="B176" s="1">
        <v>2175</v>
      </c>
      <c r="C176" s="2" t="s">
        <v>182</v>
      </c>
      <c r="D176" s="3" t="str">
        <f>VLOOKUP(A176,武将获取途径!$A:$D,4,0)</f>
        <v>祈福</v>
      </c>
      <c r="G176"/>
    </row>
    <row r="177" spans="1:7" ht="15" x14ac:dyDescent="0.15">
      <c r="A177" s="1" t="s">
        <v>198</v>
      </c>
      <c r="B177" s="1">
        <v>2175</v>
      </c>
      <c r="C177" s="2" t="s">
        <v>182</v>
      </c>
      <c r="D177" s="3" t="s">
        <v>47</v>
      </c>
      <c r="F177" s="3">
        <v>2000</v>
      </c>
    </row>
    <row r="178" spans="1:7" ht="15" x14ac:dyDescent="0.15">
      <c r="A178" s="1" t="s">
        <v>199</v>
      </c>
      <c r="B178" s="1">
        <v>2174</v>
      </c>
      <c r="C178" s="2" t="s">
        <v>182</v>
      </c>
      <c r="D178" s="3" t="str">
        <f>VLOOKUP(A178,武将获取途径!$A:$D,4,0)</f>
        <v>纳贤</v>
      </c>
      <c r="G178"/>
    </row>
    <row r="179" spans="1:7" ht="15" x14ac:dyDescent="0.15">
      <c r="A179" s="1" t="s">
        <v>200</v>
      </c>
      <c r="B179" s="1">
        <v>2170</v>
      </c>
      <c r="C179" s="2" t="s">
        <v>182</v>
      </c>
      <c r="D179" s="3" t="s">
        <v>47</v>
      </c>
      <c r="F179" s="3">
        <v>1500</v>
      </c>
    </row>
    <row r="180" spans="1:7" ht="15" x14ac:dyDescent="0.15">
      <c r="A180" s="1" t="s">
        <v>201</v>
      </c>
      <c r="B180" s="1">
        <v>2168</v>
      </c>
      <c r="C180" s="2" t="s">
        <v>182</v>
      </c>
      <c r="D180" s="3" t="str">
        <f>VLOOKUP(A180,武将获取途径!$A:$D,4,0)</f>
        <v>纳贤</v>
      </c>
      <c r="G180"/>
    </row>
    <row r="181" spans="1:7" ht="15" x14ac:dyDescent="0.15">
      <c r="A181" s="1" t="s">
        <v>202</v>
      </c>
      <c r="B181" s="1">
        <v>2164</v>
      </c>
      <c r="C181" s="2" t="s">
        <v>182</v>
      </c>
      <c r="D181" s="3" t="s">
        <v>128</v>
      </c>
      <c r="F181" s="3" t="s">
        <v>203</v>
      </c>
      <c r="G181"/>
    </row>
    <row r="182" spans="1:7" ht="15" x14ac:dyDescent="0.15">
      <c r="A182" s="1" t="s">
        <v>204</v>
      </c>
      <c r="B182" s="1">
        <v>2164</v>
      </c>
      <c r="C182" s="2" t="s">
        <v>182</v>
      </c>
      <c r="D182" s="3" t="str">
        <f>VLOOKUP(A182,武将获取途径!$A:$D,4,0)</f>
        <v>纳贤</v>
      </c>
      <c r="G182"/>
    </row>
    <row r="183" spans="1:7" ht="15" x14ac:dyDescent="0.15">
      <c r="A183" s="1" t="s">
        <v>205</v>
      </c>
      <c r="B183" s="1">
        <v>2163</v>
      </c>
      <c r="C183" s="2" t="s">
        <v>182</v>
      </c>
      <c r="D183" s="3" t="str">
        <f>VLOOKUP(A183,武将获取途径!$A:$D,4,0)</f>
        <v>充值奖励</v>
      </c>
      <c r="G183"/>
    </row>
    <row r="184" spans="1:7" ht="15" x14ac:dyDescent="0.15">
      <c r="A184" s="1" t="s">
        <v>206</v>
      </c>
      <c r="B184" s="1">
        <v>2161</v>
      </c>
      <c r="C184" s="2" t="s">
        <v>182</v>
      </c>
      <c r="D184" s="3" t="str">
        <f>VLOOKUP(A184,武将获取途径!$A:$D,4,0)</f>
        <v>充值奖励</v>
      </c>
      <c r="G184"/>
    </row>
    <row r="185" spans="1:7" ht="15" x14ac:dyDescent="0.15">
      <c r="A185" s="1" t="s">
        <v>207</v>
      </c>
      <c r="B185" s="1">
        <v>2159</v>
      </c>
      <c r="C185" s="2" t="s">
        <v>182</v>
      </c>
      <c r="D185" s="3" t="s">
        <v>47</v>
      </c>
      <c r="F185" s="3">
        <v>2000</v>
      </c>
    </row>
    <row r="186" spans="1:7" ht="15" x14ac:dyDescent="0.15">
      <c r="A186" s="1" t="s">
        <v>208</v>
      </c>
      <c r="B186" s="1">
        <v>2150</v>
      </c>
      <c r="C186" s="2" t="s">
        <v>182</v>
      </c>
      <c r="D186" s="3" t="str">
        <f>VLOOKUP(A186,武将获取途径!$A:$D,4,0)</f>
        <v>充值奖励</v>
      </c>
      <c r="G186"/>
    </row>
    <row r="187" spans="1:7" ht="15" x14ac:dyDescent="0.15">
      <c r="A187" s="1" t="s">
        <v>209</v>
      </c>
      <c r="B187" s="1">
        <v>2150</v>
      </c>
      <c r="C187" s="2" t="s">
        <v>182</v>
      </c>
      <c r="D187" s="3" t="str">
        <f>VLOOKUP(A187,武将获取途径!$A:$D,4,0)</f>
        <v>纳贤</v>
      </c>
      <c r="G187"/>
    </row>
    <row r="188" spans="1:7" ht="15" x14ac:dyDescent="0.15">
      <c r="A188" s="1" t="s">
        <v>210</v>
      </c>
      <c r="B188" s="1">
        <v>2149</v>
      </c>
      <c r="C188" s="2" t="s">
        <v>182</v>
      </c>
      <c r="D188" s="3" t="str">
        <f>VLOOKUP(A188,武将获取途径!$A:$D,4,0)</f>
        <v>纳贤</v>
      </c>
      <c r="G188"/>
    </row>
    <row r="189" spans="1:7" ht="15" x14ac:dyDescent="0.15">
      <c r="A189" s="1" t="s">
        <v>211</v>
      </c>
      <c r="B189" s="1">
        <v>2149</v>
      </c>
      <c r="C189" s="2" t="s">
        <v>182</v>
      </c>
      <c r="D189" s="3" t="str">
        <f>VLOOKUP(A189,武将获取途径!$A:$D,4,0)</f>
        <v>充值奖励</v>
      </c>
      <c r="G189"/>
    </row>
    <row r="190" spans="1:7" ht="15" x14ac:dyDescent="0.15">
      <c r="A190" s="1" t="s">
        <v>212</v>
      </c>
      <c r="B190" s="1">
        <v>2147</v>
      </c>
      <c r="C190" s="2" t="s">
        <v>182</v>
      </c>
      <c r="D190" s="3" t="str">
        <f>VLOOKUP(A190,武将获取途径!$A:$D,4,0)</f>
        <v>祈福</v>
      </c>
      <c r="G190"/>
    </row>
    <row r="191" spans="1:7" ht="15" x14ac:dyDescent="0.15">
      <c r="A191" s="12" t="s">
        <v>213</v>
      </c>
      <c r="B191" s="1">
        <v>2144</v>
      </c>
      <c r="C191" s="2" t="s">
        <v>182</v>
      </c>
      <c r="D191" s="3" t="s">
        <v>150</v>
      </c>
      <c r="F191" s="3" t="s">
        <v>151</v>
      </c>
      <c r="G191" s="3" t="s">
        <v>196</v>
      </c>
    </row>
    <row r="192" spans="1:7" ht="15" x14ac:dyDescent="0.15">
      <c r="A192" s="1" t="s">
        <v>214</v>
      </c>
      <c r="B192" s="1">
        <v>2141</v>
      </c>
      <c r="C192" s="2" t="s">
        <v>182</v>
      </c>
      <c r="D192" s="3" t="s">
        <v>47</v>
      </c>
      <c r="F192" s="3">
        <v>1000</v>
      </c>
    </row>
    <row r="193" spans="1:7" ht="15" x14ac:dyDescent="0.15">
      <c r="A193" s="1" t="s">
        <v>215</v>
      </c>
      <c r="B193" s="1">
        <v>2140</v>
      </c>
      <c r="C193" s="2" t="s">
        <v>182</v>
      </c>
      <c r="D193" s="3" t="s">
        <v>47</v>
      </c>
      <c r="F193" s="3">
        <v>500</v>
      </c>
    </row>
    <row r="194" spans="1:7" ht="15" x14ac:dyDescent="0.15">
      <c r="A194" s="1" t="s">
        <v>216</v>
      </c>
      <c r="B194" s="1">
        <v>2140</v>
      </c>
      <c r="C194" s="2" t="s">
        <v>182</v>
      </c>
      <c r="D194" s="3" t="str">
        <f>VLOOKUP(A194,武将获取途径!$A:$D,4,0)</f>
        <v>神将任务</v>
      </c>
    </row>
    <row r="195" spans="1:7" ht="15" x14ac:dyDescent="0.15">
      <c r="A195" s="1" t="s">
        <v>217</v>
      </c>
      <c r="B195" s="1">
        <v>2139</v>
      </c>
      <c r="C195" s="2" t="s">
        <v>182</v>
      </c>
      <c r="D195" s="3" t="s">
        <v>47</v>
      </c>
      <c r="F195" s="3">
        <v>10000</v>
      </c>
    </row>
    <row r="196" spans="1:7" ht="15" x14ac:dyDescent="0.15">
      <c r="A196" s="1" t="s">
        <v>218</v>
      </c>
      <c r="B196" s="1">
        <v>2138</v>
      </c>
      <c r="C196" s="2" t="s">
        <v>182</v>
      </c>
      <c r="D196" s="3" t="str">
        <f>VLOOKUP(A196,武将获取途径!$A:$D,4,0)</f>
        <v>纳贤</v>
      </c>
      <c r="G196"/>
    </row>
    <row r="197" spans="1:7" ht="15" x14ac:dyDescent="0.15">
      <c r="A197" s="1" t="s">
        <v>219</v>
      </c>
      <c r="B197" s="1">
        <v>2133</v>
      </c>
      <c r="C197" s="2" t="s">
        <v>182</v>
      </c>
      <c r="D197" s="3" t="str">
        <f>VLOOKUP(A197,武将获取途径!$A:$D,4,0)</f>
        <v>活跃</v>
      </c>
    </row>
    <row r="198" spans="1:7" ht="15" x14ac:dyDescent="0.15">
      <c r="A198" s="1" t="s">
        <v>220</v>
      </c>
      <c r="B198" s="1">
        <v>2131</v>
      </c>
      <c r="C198" s="2" t="s">
        <v>182</v>
      </c>
      <c r="D198" s="3" t="s">
        <v>47</v>
      </c>
      <c r="F198" s="3">
        <v>2000</v>
      </c>
    </row>
    <row r="199" spans="1:7" ht="15" x14ac:dyDescent="0.15">
      <c r="A199" s="1" t="s">
        <v>221</v>
      </c>
      <c r="B199" s="1">
        <v>2129</v>
      </c>
      <c r="C199" s="2" t="s">
        <v>182</v>
      </c>
      <c r="D199" s="3" t="str">
        <f>VLOOKUP(A199,武将获取途径!$A:$D,4,0)</f>
        <v>纳贤</v>
      </c>
      <c r="G199"/>
    </row>
    <row r="200" spans="1:7" ht="15" x14ac:dyDescent="0.15">
      <c r="A200" s="1" t="s">
        <v>222</v>
      </c>
      <c r="B200" s="1">
        <v>2126</v>
      </c>
      <c r="C200" s="2" t="s">
        <v>182</v>
      </c>
      <c r="D200" s="3" t="str">
        <f>VLOOKUP(A200,武将获取途径!$A:$D,4,0)</f>
        <v>纳贤</v>
      </c>
      <c r="G200"/>
    </row>
    <row r="201" spans="1:7" ht="15" x14ac:dyDescent="0.15">
      <c r="A201" s="1" t="s">
        <v>223</v>
      </c>
      <c r="B201" s="1">
        <v>2125</v>
      </c>
      <c r="C201" s="2" t="s">
        <v>182</v>
      </c>
      <c r="D201" s="3" t="s">
        <v>47</v>
      </c>
      <c r="F201" s="3">
        <v>1000</v>
      </c>
    </row>
    <row r="202" spans="1:7" ht="15" x14ac:dyDescent="0.15">
      <c r="A202" s="1" t="s">
        <v>224</v>
      </c>
      <c r="B202" s="1">
        <v>2124</v>
      </c>
      <c r="C202" s="2" t="s">
        <v>182</v>
      </c>
      <c r="D202" s="3" t="str">
        <f>VLOOKUP(A202,武将获取途径!$A:$D,4,0)</f>
        <v>祈福</v>
      </c>
      <c r="G202"/>
    </row>
    <row r="203" spans="1:7" ht="15" x14ac:dyDescent="0.15">
      <c r="A203" s="1" t="s">
        <v>225</v>
      </c>
      <c r="B203" s="1">
        <v>2123</v>
      </c>
      <c r="C203" s="2" t="s">
        <v>182</v>
      </c>
      <c r="D203" s="3" t="str">
        <f>VLOOKUP(A203,武将获取途径!$A:$D,4,0)</f>
        <v>纳贤</v>
      </c>
      <c r="G203"/>
    </row>
    <row r="204" spans="1:7" ht="15" x14ac:dyDescent="0.15">
      <c r="A204" s="1" t="s">
        <v>226</v>
      </c>
      <c r="B204" s="1">
        <v>2122</v>
      </c>
      <c r="C204" s="2" t="s">
        <v>182</v>
      </c>
      <c r="D204" s="3" t="s">
        <v>47</v>
      </c>
      <c r="F204" s="3">
        <v>1500</v>
      </c>
    </row>
    <row r="205" spans="1:7" ht="15" x14ac:dyDescent="0.15">
      <c r="A205" s="1" t="s">
        <v>227</v>
      </c>
      <c r="B205" s="1">
        <v>2122</v>
      </c>
      <c r="C205" s="2" t="s">
        <v>182</v>
      </c>
      <c r="D205" s="3" t="str">
        <f>VLOOKUP(A205,武将获取途径!$A:$D,4,0)</f>
        <v>纳贤</v>
      </c>
      <c r="G205"/>
    </row>
    <row r="206" spans="1:7" ht="15" x14ac:dyDescent="0.15">
      <c r="A206" s="1" t="s">
        <v>228</v>
      </c>
      <c r="B206" s="1">
        <v>2121</v>
      </c>
      <c r="C206" s="2" t="s">
        <v>182</v>
      </c>
      <c r="D206" s="3" t="str">
        <f>VLOOKUP(A206,武将获取途径!$A:$D,4,0)</f>
        <v>纳贤</v>
      </c>
      <c r="G206"/>
    </row>
    <row r="207" spans="1:7" ht="15" x14ac:dyDescent="0.15">
      <c r="A207" s="1" t="s">
        <v>229</v>
      </c>
      <c r="B207" s="1">
        <v>2120</v>
      </c>
      <c r="C207" s="2" t="s">
        <v>182</v>
      </c>
      <c r="D207" s="3" t="str">
        <f>VLOOKUP(A207,武将获取途径!$A:$D,4,0)</f>
        <v>纳贤</v>
      </c>
      <c r="G207"/>
    </row>
    <row r="208" spans="1:7" ht="15" x14ac:dyDescent="0.15">
      <c r="A208" s="1" t="s">
        <v>230</v>
      </c>
      <c r="B208" s="1">
        <v>2116</v>
      </c>
      <c r="C208" s="2" t="s">
        <v>182</v>
      </c>
      <c r="D208" s="3" t="str">
        <f>VLOOKUP(A208,武将获取途径!$A:$D,4,0)</f>
        <v>纳贤</v>
      </c>
      <c r="G208"/>
    </row>
    <row r="209" spans="1:7" ht="15" x14ac:dyDescent="0.15">
      <c r="A209" s="1" t="s">
        <v>231</v>
      </c>
      <c r="B209" s="1">
        <v>2115</v>
      </c>
      <c r="C209" s="2" t="s">
        <v>182</v>
      </c>
      <c r="D209" s="3" t="s">
        <v>150</v>
      </c>
      <c r="F209" s="3" t="s">
        <v>232</v>
      </c>
    </row>
    <row r="210" spans="1:7" ht="15" x14ac:dyDescent="0.15">
      <c r="A210" s="1" t="s">
        <v>233</v>
      </c>
      <c r="B210" s="1">
        <v>2115</v>
      </c>
      <c r="C210" s="2" t="s">
        <v>182</v>
      </c>
      <c r="D210" s="3" t="s">
        <v>47</v>
      </c>
      <c r="F210" s="3">
        <v>2000</v>
      </c>
    </row>
    <row r="211" spans="1:7" ht="15" x14ac:dyDescent="0.15">
      <c r="A211" s="1" t="s">
        <v>234</v>
      </c>
      <c r="B211" s="1">
        <v>2114</v>
      </c>
      <c r="C211" s="2" t="s">
        <v>182</v>
      </c>
      <c r="D211" s="3" t="str">
        <f>VLOOKUP(A211,武将获取途径!$A:$D,4,0)</f>
        <v>充值奖励</v>
      </c>
      <c r="G211"/>
    </row>
    <row r="212" spans="1:7" ht="15" x14ac:dyDescent="0.15">
      <c r="A212" s="1" t="s">
        <v>235</v>
      </c>
      <c r="B212" s="1">
        <v>2113</v>
      </c>
      <c r="C212" s="2" t="s">
        <v>182</v>
      </c>
      <c r="D212" s="3" t="s">
        <v>47</v>
      </c>
      <c r="F212" s="3">
        <v>2000</v>
      </c>
    </row>
    <row r="213" spans="1:7" ht="15" x14ac:dyDescent="0.15">
      <c r="A213" s="1" t="s">
        <v>236</v>
      </c>
      <c r="B213" s="1">
        <v>2109</v>
      </c>
      <c r="C213" s="2" t="s">
        <v>182</v>
      </c>
      <c r="D213" s="3" t="str">
        <f>VLOOKUP(A213,武将获取途径!$A:$D,4,0)</f>
        <v>纳贤</v>
      </c>
      <c r="G213"/>
    </row>
    <row r="214" spans="1:7" ht="15" x14ac:dyDescent="0.15">
      <c r="A214" s="1" t="s">
        <v>237</v>
      </c>
      <c r="B214" s="1">
        <v>2108</v>
      </c>
      <c r="C214" s="2" t="s">
        <v>182</v>
      </c>
      <c r="D214" s="3" t="str">
        <f>VLOOKUP(A214,武将获取途径!$A:$D,4,0)</f>
        <v>祈福</v>
      </c>
      <c r="G214"/>
    </row>
    <row r="215" spans="1:7" ht="15" x14ac:dyDescent="0.15">
      <c r="A215" s="12" t="s">
        <v>238</v>
      </c>
      <c r="B215" s="1">
        <v>2103</v>
      </c>
      <c r="C215" s="2" t="s">
        <v>182</v>
      </c>
      <c r="D215" s="3" t="s">
        <v>239</v>
      </c>
      <c r="G215"/>
    </row>
    <row r="216" spans="1:7" ht="15" x14ac:dyDescent="0.15">
      <c r="A216" s="1" t="s">
        <v>240</v>
      </c>
      <c r="B216" s="1">
        <v>2102</v>
      </c>
      <c r="C216" s="2" t="s">
        <v>182</v>
      </c>
      <c r="D216" s="3" t="s">
        <v>47</v>
      </c>
      <c r="F216" s="3">
        <v>3000</v>
      </c>
    </row>
    <row r="217" spans="1:7" ht="15" x14ac:dyDescent="0.15">
      <c r="A217" s="1" t="s">
        <v>241</v>
      </c>
      <c r="B217" s="1">
        <v>2101</v>
      </c>
      <c r="C217" s="2" t="s">
        <v>182</v>
      </c>
      <c r="D217" s="3" t="str">
        <f>VLOOKUP(A217,武将获取途径!$A:$D,4,0)</f>
        <v>官阶</v>
      </c>
      <c r="G217"/>
    </row>
    <row r="218" spans="1:7" ht="15" x14ac:dyDescent="0.15">
      <c r="A218" s="1" t="s">
        <v>242</v>
      </c>
      <c r="B218" s="1">
        <v>2099</v>
      </c>
      <c r="C218" s="2" t="s">
        <v>182</v>
      </c>
      <c r="D218" s="3" t="str">
        <f>VLOOKUP(A218,武将获取途径!$A:$D,4,0)</f>
        <v>砸蛋</v>
      </c>
      <c r="G218"/>
    </row>
    <row r="219" spans="1:7" ht="15" x14ac:dyDescent="0.15">
      <c r="A219" s="1" t="s">
        <v>243</v>
      </c>
      <c r="B219" s="1">
        <v>2099</v>
      </c>
      <c r="C219" s="2" t="s">
        <v>182</v>
      </c>
      <c r="D219" s="3" t="str">
        <f>VLOOKUP(A219,武将获取途径!$A:$D,4,0)</f>
        <v>充值奖励</v>
      </c>
      <c r="G219"/>
    </row>
    <row r="220" spans="1:7" ht="15" x14ac:dyDescent="0.15">
      <c r="A220" s="1" t="s">
        <v>244</v>
      </c>
      <c r="B220" s="1">
        <v>2097</v>
      </c>
      <c r="C220" s="2" t="s">
        <v>182</v>
      </c>
      <c r="D220" s="3" t="str">
        <f>VLOOKUP(A220,武将获取途径!$A:$D,4,0)</f>
        <v>商城礼包</v>
      </c>
      <c r="G220"/>
    </row>
    <row r="221" spans="1:7" ht="15" x14ac:dyDescent="0.15">
      <c r="A221" s="1" t="s">
        <v>245</v>
      </c>
      <c r="B221" s="1">
        <v>2095</v>
      </c>
      <c r="C221" s="2" t="s">
        <v>182</v>
      </c>
      <c r="D221" s="3" t="s">
        <v>150</v>
      </c>
    </row>
    <row r="222" spans="1:7" ht="15" x14ac:dyDescent="0.15">
      <c r="A222" s="12" t="s">
        <v>246</v>
      </c>
      <c r="B222" s="1">
        <v>2091</v>
      </c>
      <c r="C222" s="2" t="s">
        <v>182</v>
      </c>
      <c r="D222" s="3" t="s">
        <v>47</v>
      </c>
      <c r="F222" s="3">
        <v>1000</v>
      </c>
    </row>
    <row r="223" spans="1:7" ht="15" x14ac:dyDescent="0.15">
      <c r="A223" s="1" t="s">
        <v>247</v>
      </c>
      <c r="B223" s="1">
        <v>2091</v>
      </c>
      <c r="C223" s="2" t="s">
        <v>182</v>
      </c>
      <c r="D223" s="3" t="str">
        <f>VLOOKUP(A223,武将获取途径!$A:$D,4,0)</f>
        <v>纳贤</v>
      </c>
      <c r="G223"/>
    </row>
    <row r="224" spans="1:7" ht="15" x14ac:dyDescent="0.15">
      <c r="A224" s="1" t="s">
        <v>248</v>
      </c>
      <c r="B224" s="1">
        <v>2090</v>
      </c>
      <c r="C224" s="2" t="s">
        <v>182</v>
      </c>
      <c r="D224" s="3" t="s">
        <v>150</v>
      </c>
      <c r="F224" s="3" t="s">
        <v>151</v>
      </c>
      <c r="G224" s="3" t="s">
        <v>152</v>
      </c>
    </row>
    <row r="225" spans="1:7" ht="15" x14ac:dyDescent="0.15">
      <c r="A225" s="12" t="s">
        <v>249</v>
      </c>
      <c r="B225" s="1">
        <v>2090</v>
      </c>
      <c r="C225" s="2" t="s">
        <v>182</v>
      </c>
      <c r="D225" s="3" t="s">
        <v>150</v>
      </c>
      <c r="F225" s="3" t="s">
        <v>232</v>
      </c>
    </row>
    <row r="226" spans="1:7" ht="15" x14ac:dyDescent="0.15">
      <c r="A226" s="1" t="s">
        <v>250</v>
      </c>
      <c r="B226" s="1">
        <v>2085</v>
      </c>
      <c r="C226" s="2" t="s">
        <v>182</v>
      </c>
      <c r="D226" s="3" t="str">
        <f>VLOOKUP(A226,武将获取途径!$A:$D,4,0)</f>
        <v>纳贤</v>
      </c>
      <c r="G226"/>
    </row>
    <row r="227" spans="1:7" ht="15" x14ac:dyDescent="0.15">
      <c r="A227" s="12" t="s">
        <v>251</v>
      </c>
      <c r="B227" s="1">
        <v>2080</v>
      </c>
      <c r="C227" s="2" t="s">
        <v>182</v>
      </c>
      <c r="D227" s="3" t="s">
        <v>150</v>
      </c>
      <c r="F227" s="3" t="s">
        <v>252</v>
      </c>
    </row>
    <row r="228" spans="1:7" ht="15" x14ac:dyDescent="0.15">
      <c r="A228" s="1" t="s">
        <v>253</v>
      </c>
      <c r="B228" s="1">
        <v>2077</v>
      </c>
      <c r="C228" s="2" t="s">
        <v>182</v>
      </c>
      <c r="D228" s="3" t="s">
        <v>47</v>
      </c>
      <c r="F228" s="3">
        <v>500</v>
      </c>
    </row>
    <row r="229" spans="1:7" ht="15" x14ac:dyDescent="0.15">
      <c r="A229" s="1" t="s">
        <v>254</v>
      </c>
      <c r="B229" s="1">
        <v>2074</v>
      </c>
      <c r="C229" s="2" t="s">
        <v>182</v>
      </c>
      <c r="D229" s="3" t="s">
        <v>255</v>
      </c>
      <c r="G229"/>
    </row>
    <row r="230" spans="1:7" ht="15" x14ac:dyDescent="0.15">
      <c r="A230" s="1" t="s">
        <v>256</v>
      </c>
      <c r="B230" s="1">
        <v>2071</v>
      </c>
      <c r="C230" s="2" t="s">
        <v>182</v>
      </c>
      <c r="D230" s="3" t="s">
        <v>47</v>
      </c>
      <c r="F230" s="3">
        <v>1000</v>
      </c>
    </row>
    <row r="231" spans="1:7" ht="15" x14ac:dyDescent="0.15">
      <c r="A231" s="1" t="s">
        <v>257</v>
      </c>
      <c r="B231" s="1">
        <v>2066</v>
      </c>
      <c r="C231" s="2" t="s">
        <v>182</v>
      </c>
      <c r="D231" s="3" t="str">
        <f>VLOOKUP(A231,武将获取途径!$A:$D,4,0)</f>
        <v>充值奖励</v>
      </c>
      <c r="G231"/>
    </row>
    <row r="232" spans="1:7" ht="15" x14ac:dyDescent="0.15">
      <c r="A232" s="1" t="s">
        <v>258</v>
      </c>
      <c r="B232" s="1">
        <v>2066</v>
      </c>
      <c r="C232" s="2" t="s">
        <v>182</v>
      </c>
      <c r="D232" s="3" t="str">
        <f>VLOOKUP(A232,武将获取途径!$A:$D,4,0)</f>
        <v>纳贤</v>
      </c>
      <c r="G232"/>
    </row>
    <row r="233" spans="1:7" ht="15" x14ac:dyDescent="0.15">
      <c r="A233" s="1" t="s">
        <v>259</v>
      </c>
      <c r="B233" s="1">
        <v>2065</v>
      </c>
      <c r="C233" s="2" t="s">
        <v>182</v>
      </c>
      <c r="D233" s="3" t="s">
        <v>47</v>
      </c>
      <c r="F233" s="3">
        <v>1000</v>
      </c>
    </row>
    <row r="234" spans="1:7" ht="15" x14ac:dyDescent="0.15">
      <c r="A234" s="1" t="s">
        <v>260</v>
      </c>
      <c r="B234" s="1">
        <v>2064</v>
      </c>
      <c r="C234" s="2" t="s">
        <v>182</v>
      </c>
      <c r="D234" s="3" t="str">
        <f>VLOOKUP(A234,武将获取途径!$A:$D,4,0)</f>
        <v>充值奖励</v>
      </c>
      <c r="G234"/>
    </row>
    <row r="235" spans="1:7" ht="15" x14ac:dyDescent="0.15">
      <c r="A235" s="1" t="s">
        <v>261</v>
      </c>
      <c r="B235" s="1">
        <v>2064</v>
      </c>
      <c r="C235" s="2" t="s">
        <v>182</v>
      </c>
      <c r="D235" s="3" t="s">
        <v>47</v>
      </c>
      <c r="F235" s="3">
        <v>20</v>
      </c>
    </row>
    <row r="236" spans="1:7" ht="15" x14ac:dyDescent="0.15">
      <c r="A236" s="1" t="s">
        <v>262</v>
      </c>
      <c r="B236" s="1">
        <v>2064</v>
      </c>
      <c r="C236" s="2" t="s">
        <v>182</v>
      </c>
      <c r="D236" s="3" t="s">
        <v>47</v>
      </c>
      <c r="F236" s="3">
        <v>1000</v>
      </c>
    </row>
    <row r="237" spans="1:7" ht="15" x14ac:dyDescent="0.15">
      <c r="A237" s="1" t="s">
        <v>263</v>
      </c>
      <c r="B237" s="1">
        <v>2063</v>
      </c>
      <c r="C237" s="2" t="s">
        <v>182</v>
      </c>
      <c r="D237" s="3" t="str">
        <f>VLOOKUP(A237,武将获取途径!$A:$D,4,0)</f>
        <v>纳贤</v>
      </c>
      <c r="G237"/>
    </row>
    <row r="238" spans="1:7" ht="15" x14ac:dyDescent="0.15">
      <c r="A238" s="1" t="s">
        <v>264</v>
      </c>
      <c r="B238" s="1">
        <v>2062</v>
      </c>
      <c r="C238" s="2" t="s">
        <v>182</v>
      </c>
      <c r="D238" s="3" t="str">
        <f>VLOOKUP(A238,武将获取途径!$A:$D,4,0)</f>
        <v>充值奖励</v>
      </c>
      <c r="G238"/>
    </row>
    <row r="239" spans="1:7" ht="15" x14ac:dyDescent="0.15">
      <c r="A239" s="1" t="s">
        <v>265</v>
      </c>
      <c r="B239" s="1">
        <v>2061</v>
      </c>
      <c r="C239" s="2" t="s">
        <v>182</v>
      </c>
      <c r="D239" s="3" t="s">
        <v>150</v>
      </c>
      <c r="F239" s="3" t="s">
        <v>151</v>
      </c>
      <c r="G239" s="3" t="s">
        <v>152</v>
      </c>
    </row>
    <row r="240" spans="1:7" ht="15" x14ac:dyDescent="0.15">
      <c r="A240" s="1" t="s">
        <v>266</v>
      </c>
      <c r="B240" s="1">
        <v>2059</v>
      </c>
      <c r="C240" s="2" t="s">
        <v>182</v>
      </c>
      <c r="D240" s="3" t="s">
        <v>47</v>
      </c>
      <c r="F240" s="3">
        <v>140</v>
      </c>
    </row>
    <row r="241" spans="1:7" ht="15" x14ac:dyDescent="0.15">
      <c r="A241" s="1" t="s">
        <v>267</v>
      </c>
      <c r="B241" s="1">
        <v>2056</v>
      </c>
      <c r="C241" s="2" t="s">
        <v>182</v>
      </c>
      <c r="D241" s="3" t="s">
        <v>47</v>
      </c>
      <c r="F241" s="3">
        <v>1000</v>
      </c>
    </row>
    <row r="242" spans="1:7" ht="15" x14ac:dyDescent="0.15">
      <c r="A242" s="1" t="s">
        <v>268</v>
      </c>
      <c r="B242" s="1">
        <v>2055</v>
      </c>
      <c r="C242" s="2" t="s">
        <v>182</v>
      </c>
      <c r="D242" s="3" t="str">
        <f>VLOOKUP(A242,武将获取途径!$A:$D,4,0)</f>
        <v>充值奖励</v>
      </c>
      <c r="G242"/>
    </row>
    <row r="243" spans="1:7" ht="15" x14ac:dyDescent="0.15">
      <c r="A243" s="1" t="s">
        <v>269</v>
      </c>
      <c r="B243" s="1">
        <v>2053</v>
      </c>
      <c r="C243" s="2" t="s">
        <v>182</v>
      </c>
      <c r="D243" s="3" t="s">
        <v>270</v>
      </c>
      <c r="F243" s="3" t="s">
        <v>151</v>
      </c>
    </row>
    <row r="244" spans="1:7" ht="15" x14ac:dyDescent="0.15">
      <c r="A244" s="1" t="s">
        <v>271</v>
      </c>
      <c r="B244" s="1">
        <v>2051</v>
      </c>
      <c r="C244" s="2" t="s">
        <v>182</v>
      </c>
      <c r="D244" s="3" t="str">
        <f>VLOOKUP(A244,武将获取途径!$A:$D,4,0)</f>
        <v>纳贤</v>
      </c>
      <c r="G244"/>
    </row>
    <row r="245" spans="1:7" ht="15" x14ac:dyDescent="0.15">
      <c r="A245" s="1" t="s">
        <v>272</v>
      </c>
      <c r="B245" s="1">
        <v>2049</v>
      </c>
      <c r="C245" s="2" t="s">
        <v>182</v>
      </c>
      <c r="D245" s="3" t="str">
        <f>VLOOKUP(A245,武将获取途径!$A:$D,4,0)</f>
        <v>神将任务</v>
      </c>
    </row>
    <row r="246" spans="1:7" ht="15" x14ac:dyDescent="0.15">
      <c r="A246" s="12" t="s">
        <v>273</v>
      </c>
      <c r="B246" s="1">
        <v>2047</v>
      </c>
      <c r="C246" s="2" t="s">
        <v>182</v>
      </c>
      <c r="D246" s="3" t="s">
        <v>47</v>
      </c>
      <c r="F246" s="3" t="s">
        <v>151</v>
      </c>
      <c r="G246" s="3" t="s">
        <v>196</v>
      </c>
    </row>
    <row r="247" spans="1:7" ht="15" x14ac:dyDescent="0.15">
      <c r="A247" s="1" t="s">
        <v>274</v>
      </c>
      <c r="B247" s="1">
        <v>2037</v>
      </c>
      <c r="C247" s="2" t="s">
        <v>182</v>
      </c>
      <c r="D247" s="3" t="str">
        <f>VLOOKUP(A247,武将获取途径!$A:$D,4,0)</f>
        <v>纳贤</v>
      </c>
      <c r="G247"/>
    </row>
    <row r="248" spans="1:7" ht="15" x14ac:dyDescent="0.15">
      <c r="A248" s="1" t="s">
        <v>275</v>
      </c>
      <c r="B248" s="1">
        <v>2035</v>
      </c>
      <c r="C248" s="2" t="s">
        <v>182</v>
      </c>
      <c r="D248" s="3" t="s">
        <v>47</v>
      </c>
      <c r="F248" s="3">
        <v>60</v>
      </c>
      <c r="G248" s="3" t="s">
        <v>276</v>
      </c>
    </row>
    <row r="249" spans="1:7" ht="15" x14ac:dyDescent="0.15">
      <c r="A249" s="1" t="s">
        <v>277</v>
      </c>
      <c r="B249" s="1">
        <v>2031</v>
      </c>
      <c r="C249" s="2" t="s">
        <v>182</v>
      </c>
      <c r="D249" s="3" t="s">
        <v>47</v>
      </c>
      <c r="F249" s="3">
        <v>1000</v>
      </c>
    </row>
    <row r="250" spans="1:7" ht="15" x14ac:dyDescent="0.15">
      <c r="A250" s="1" t="s">
        <v>278</v>
      </c>
      <c r="B250" s="1">
        <v>2031</v>
      </c>
      <c r="C250" s="2" t="s">
        <v>182</v>
      </c>
      <c r="D250" s="3" t="s">
        <v>279</v>
      </c>
      <c r="F250" s="3" t="s">
        <v>151</v>
      </c>
    </row>
    <row r="251" spans="1:7" ht="15" x14ac:dyDescent="0.15">
      <c r="A251" s="1" t="s">
        <v>280</v>
      </c>
      <c r="B251" s="1">
        <v>2030</v>
      </c>
      <c r="C251" s="2" t="s">
        <v>182</v>
      </c>
      <c r="D251" s="3" t="s">
        <v>47</v>
      </c>
      <c r="F251" s="3">
        <v>1500</v>
      </c>
    </row>
    <row r="252" spans="1:7" ht="15" x14ac:dyDescent="0.15">
      <c r="A252" s="12" t="s">
        <v>281</v>
      </c>
      <c r="B252" s="1">
        <v>2030</v>
      </c>
      <c r="C252" s="2" t="s">
        <v>182</v>
      </c>
      <c r="D252" s="3" t="s">
        <v>47</v>
      </c>
      <c r="F252" s="3" t="s">
        <v>151</v>
      </c>
      <c r="G252" s="3" t="s">
        <v>196</v>
      </c>
    </row>
    <row r="253" spans="1:7" ht="15" x14ac:dyDescent="0.15">
      <c r="A253" s="12" t="s">
        <v>282</v>
      </c>
      <c r="B253" s="1">
        <v>2018</v>
      </c>
      <c r="C253" s="2" t="s">
        <v>182</v>
      </c>
      <c r="D253" s="3" t="s">
        <v>279</v>
      </c>
      <c r="F253" s="3" t="s">
        <v>151</v>
      </c>
    </row>
    <row r="254" spans="1:7" ht="15" x14ac:dyDescent="0.15">
      <c r="A254" s="1" t="s">
        <v>283</v>
      </c>
      <c r="B254" s="1">
        <v>2000</v>
      </c>
      <c r="C254" s="2" t="s">
        <v>182</v>
      </c>
      <c r="D254" s="3" t="str">
        <f>VLOOKUP(A254,武将获取途径!$A:$D,4,0)</f>
        <v>充值奖励</v>
      </c>
      <c r="G254"/>
    </row>
    <row r="255" spans="1:7" ht="15" x14ac:dyDescent="0.15">
      <c r="A255" s="1" t="s">
        <v>284</v>
      </c>
      <c r="B255" s="1">
        <v>2000</v>
      </c>
      <c r="C255" s="2" t="s">
        <v>182</v>
      </c>
      <c r="D255" s="3" t="s">
        <v>285</v>
      </c>
    </row>
    <row r="256" spans="1:7" ht="15" x14ac:dyDescent="0.15">
      <c r="A256" s="1" t="s">
        <v>286</v>
      </c>
      <c r="B256" s="1">
        <v>2000</v>
      </c>
      <c r="C256" s="2" t="s">
        <v>182</v>
      </c>
      <c r="D256" s="3" t="str">
        <f>VLOOKUP(A256,武将获取途径!$A:$D,4,0)</f>
        <v>纳贤</v>
      </c>
      <c r="G256"/>
    </row>
    <row r="257" spans="1:7" ht="15" x14ac:dyDescent="0.15">
      <c r="A257" s="1" t="s">
        <v>287</v>
      </c>
      <c r="B257" s="1">
        <v>2000</v>
      </c>
      <c r="C257" s="2" t="s">
        <v>182</v>
      </c>
      <c r="D257" s="3" t="str">
        <f>VLOOKUP(A257,武将获取途径!$A:$D,4,0)</f>
        <v>充值奖励</v>
      </c>
      <c r="G257"/>
    </row>
    <row r="258" spans="1:7" ht="15" x14ac:dyDescent="0.15">
      <c r="A258" s="1" t="s">
        <v>288</v>
      </c>
      <c r="B258" s="1">
        <v>2000</v>
      </c>
      <c r="C258" s="2" t="s">
        <v>182</v>
      </c>
      <c r="D258" s="3" t="str">
        <f>VLOOKUP(A258,武将获取途径!$A:$D,4,0)</f>
        <v>充值奖励</v>
      </c>
      <c r="G258"/>
    </row>
    <row r="259" spans="1:7" ht="15" x14ac:dyDescent="0.15">
      <c r="A259" s="1" t="s">
        <v>289</v>
      </c>
      <c r="B259" s="1">
        <v>2000</v>
      </c>
      <c r="C259" s="2" t="s">
        <v>182</v>
      </c>
      <c r="D259" s="3" t="str">
        <f>VLOOKUP(A259,武将获取途径!$A:$D,4,0)</f>
        <v>纳贤</v>
      </c>
      <c r="G259"/>
    </row>
    <row r="260" spans="1:7" ht="15" x14ac:dyDescent="0.15">
      <c r="A260" s="1" t="s">
        <v>290</v>
      </c>
      <c r="B260" s="1">
        <v>2000</v>
      </c>
      <c r="C260" s="2" t="s">
        <v>182</v>
      </c>
      <c r="D260" s="3" t="str">
        <f>VLOOKUP(A260,武将获取途径!$A:$D,4,0)</f>
        <v>珍宝</v>
      </c>
      <c r="G260"/>
    </row>
    <row r="261" spans="1:7" ht="15" x14ac:dyDescent="0.15">
      <c r="A261" s="1" t="s">
        <v>291</v>
      </c>
      <c r="B261" s="1">
        <v>2000</v>
      </c>
      <c r="C261" s="2" t="s">
        <v>182</v>
      </c>
      <c r="D261" s="3" t="str">
        <f>VLOOKUP(A261,武将获取途径!$A:$D,4,0)</f>
        <v>纳贤</v>
      </c>
      <c r="G261"/>
    </row>
    <row r="262" spans="1:7" ht="15" x14ac:dyDescent="0.15">
      <c r="A262" s="1" t="s">
        <v>292</v>
      </c>
      <c r="B262" s="1">
        <v>2000</v>
      </c>
      <c r="C262" s="2" t="s">
        <v>182</v>
      </c>
      <c r="D262" s="3" t="str">
        <f>VLOOKUP(A262,武将获取途径!$A:$D,4,0)</f>
        <v>纳贤</v>
      </c>
      <c r="G262"/>
    </row>
    <row r="263" spans="1:7" ht="15" x14ac:dyDescent="0.15">
      <c r="A263" s="1" t="s">
        <v>293</v>
      </c>
      <c r="B263" s="1">
        <v>2000</v>
      </c>
      <c r="C263" s="2" t="s">
        <v>182</v>
      </c>
      <c r="D263" s="3" t="str">
        <f>VLOOKUP(A263,武将获取途径!$A:$D,4,0)</f>
        <v>纳贤</v>
      </c>
      <c r="G263"/>
    </row>
    <row r="264" spans="1:7" ht="15" x14ac:dyDescent="0.15">
      <c r="A264" s="1" t="s">
        <v>294</v>
      </c>
      <c r="B264" s="1">
        <v>2000</v>
      </c>
      <c r="C264" s="2" t="s">
        <v>182</v>
      </c>
      <c r="D264" s="3" t="str">
        <f>VLOOKUP(A264,武将获取途径!$A:$D,4,0)</f>
        <v>砸蛋</v>
      </c>
      <c r="G264"/>
    </row>
    <row r="265" spans="1:7" ht="15" x14ac:dyDescent="0.15">
      <c r="A265" s="1" t="s">
        <v>295</v>
      </c>
      <c r="B265" s="1">
        <v>2000</v>
      </c>
      <c r="C265" s="2" t="s">
        <v>182</v>
      </c>
      <c r="D265" s="3" t="str">
        <f>VLOOKUP(A265,武将获取途径!$A:$D,4,0)</f>
        <v>纳贤</v>
      </c>
      <c r="G265"/>
    </row>
    <row r="266" spans="1:7" ht="15" x14ac:dyDescent="0.15">
      <c r="A266" s="1" t="s">
        <v>296</v>
      </c>
      <c r="B266" s="1">
        <v>2000</v>
      </c>
      <c r="C266" s="2" t="s">
        <v>182</v>
      </c>
      <c r="D266" s="3" t="str">
        <f>VLOOKUP(A266,武将获取途径!$A:$D,4,0)</f>
        <v>纳贤</v>
      </c>
      <c r="G266"/>
    </row>
    <row r="267" spans="1:7" ht="15" x14ac:dyDescent="0.15">
      <c r="A267" s="1" t="s">
        <v>297</v>
      </c>
      <c r="B267" s="1">
        <v>2000</v>
      </c>
      <c r="C267" s="2" t="s">
        <v>182</v>
      </c>
      <c r="D267" s="3" t="str">
        <f>VLOOKUP(A267,武将获取途径!$A:$D,4,0)</f>
        <v>充值奖励</v>
      </c>
      <c r="G267"/>
    </row>
    <row r="268" spans="1:7" ht="15" x14ac:dyDescent="0.15">
      <c r="A268" s="1" t="s">
        <v>298</v>
      </c>
      <c r="B268" s="1">
        <v>2000</v>
      </c>
      <c r="C268" s="2" t="s">
        <v>182</v>
      </c>
      <c r="D268" s="3" t="str">
        <f>VLOOKUP(A268,武将获取途径!$A:$D,4,0)</f>
        <v>充值奖励</v>
      </c>
      <c r="G268"/>
    </row>
    <row r="269" spans="1:7" ht="15" x14ac:dyDescent="0.15">
      <c r="A269" s="1" t="s">
        <v>299</v>
      </c>
      <c r="B269" s="1">
        <v>2000</v>
      </c>
      <c r="C269" s="2" t="s">
        <v>182</v>
      </c>
      <c r="D269" s="3" t="str">
        <f>VLOOKUP(A269,武将获取途径!$A:$D,4,0)</f>
        <v>充值奖励</v>
      </c>
      <c r="G269"/>
    </row>
    <row r="270" spans="1:7" ht="15" x14ac:dyDescent="0.15">
      <c r="A270" s="1" t="s">
        <v>300</v>
      </c>
      <c r="B270" s="1">
        <v>2000</v>
      </c>
      <c r="C270" s="2" t="s">
        <v>182</v>
      </c>
      <c r="D270" s="3" t="str">
        <f>VLOOKUP(A270,武将获取途径!$A:$D,4,0)</f>
        <v>充值奖励</v>
      </c>
      <c r="G270"/>
    </row>
    <row r="271" spans="1:7" ht="15" x14ac:dyDescent="0.15">
      <c r="A271" s="1" t="s">
        <v>301</v>
      </c>
      <c r="B271" s="1">
        <v>2000</v>
      </c>
      <c r="C271" s="2" t="s">
        <v>182</v>
      </c>
      <c r="D271" s="3" t="str">
        <f>VLOOKUP(A271,武将获取途径!$A:$D,4,0)</f>
        <v>纳贤</v>
      </c>
      <c r="G271"/>
    </row>
    <row r="272" spans="1:7" ht="15" x14ac:dyDescent="0.15">
      <c r="A272" s="1" t="s">
        <v>302</v>
      </c>
      <c r="B272" s="1">
        <v>2000</v>
      </c>
      <c r="C272" s="2" t="s">
        <v>182</v>
      </c>
      <c r="D272" s="3" t="str">
        <f>VLOOKUP(A272,武将获取途径!$A:$D,4,0)</f>
        <v>充值奖励</v>
      </c>
      <c r="G272"/>
    </row>
    <row r="273" spans="1:7" ht="15" x14ac:dyDescent="0.15">
      <c r="A273" s="1" t="s">
        <v>303</v>
      </c>
      <c r="B273" s="1">
        <v>2000</v>
      </c>
      <c r="C273" s="2" t="s">
        <v>182</v>
      </c>
      <c r="D273" s="3" t="str">
        <f>VLOOKUP(A273,武将获取途径!$A:$D,4,0)</f>
        <v>纳贤</v>
      </c>
      <c r="G273"/>
    </row>
    <row r="274" spans="1:7" ht="15" x14ac:dyDescent="0.15">
      <c r="A274" s="1" t="s">
        <v>304</v>
      </c>
      <c r="B274" s="1">
        <v>2000</v>
      </c>
      <c r="C274" s="2" t="s">
        <v>182</v>
      </c>
      <c r="D274" s="3" t="str">
        <f>VLOOKUP(A274,武将获取途径!$A:$D,4,0)</f>
        <v>纳贤</v>
      </c>
      <c r="G274"/>
    </row>
    <row r="275" spans="1:7" ht="15" x14ac:dyDescent="0.15">
      <c r="A275" s="1" t="s">
        <v>305</v>
      </c>
      <c r="B275" s="1">
        <v>2000</v>
      </c>
      <c r="C275" s="2" t="s">
        <v>182</v>
      </c>
      <c r="D275" s="3" t="str">
        <f>VLOOKUP(A275,武将获取途径!$A:$D,4,0)</f>
        <v>纳贤</v>
      </c>
      <c r="G275"/>
    </row>
    <row r="276" spans="1:7" ht="15" x14ac:dyDescent="0.15">
      <c r="A276" s="1" t="s">
        <v>306</v>
      </c>
      <c r="B276" s="1">
        <v>2000</v>
      </c>
      <c r="C276" s="2" t="s">
        <v>182</v>
      </c>
      <c r="D276" s="3" t="str">
        <f>VLOOKUP(A276,武将获取途径!$A:$D,4,0)</f>
        <v>纳贤</v>
      </c>
      <c r="G276"/>
    </row>
    <row r="277" spans="1:7" ht="15" x14ac:dyDescent="0.15">
      <c r="A277" s="1" t="s">
        <v>307</v>
      </c>
      <c r="B277" s="1">
        <v>2000</v>
      </c>
      <c r="C277" s="2" t="s">
        <v>182</v>
      </c>
      <c r="D277" s="3" t="s">
        <v>47</v>
      </c>
      <c r="F277" s="3">
        <v>1000</v>
      </c>
    </row>
    <row r="278" spans="1:7" ht="15" x14ac:dyDescent="0.15">
      <c r="A278" s="1" t="s">
        <v>308</v>
      </c>
      <c r="B278" s="1">
        <v>2000</v>
      </c>
      <c r="C278" s="2" t="s">
        <v>182</v>
      </c>
      <c r="D278" s="3" t="str">
        <f>VLOOKUP(A278,武将获取途径!$A:$D,4,0)</f>
        <v>祈福</v>
      </c>
      <c r="G278"/>
    </row>
    <row r="279" spans="1:7" ht="15" x14ac:dyDescent="0.15">
      <c r="A279" s="1" t="s">
        <v>309</v>
      </c>
      <c r="B279" s="1">
        <v>2000</v>
      </c>
      <c r="C279" s="2" t="s">
        <v>182</v>
      </c>
      <c r="D279" s="3" t="str">
        <f>VLOOKUP(A279,武将获取途径!$A:$D,4,0)</f>
        <v>珍宝</v>
      </c>
      <c r="G279"/>
    </row>
    <row r="280" spans="1:7" ht="15" x14ac:dyDescent="0.15">
      <c r="A280" s="1" t="s">
        <v>310</v>
      </c>
      <c r="B280" s="1">
        <v>2000</v>
      </c>
      <c r="C280" s="2" t="s">
        <v>182</v>
      </c>
      <c r="D280" s="3" t="str">
        <f>VLOOKUP(A280,武将获取途径!$A:$D,4,0)</f>
        <v>祈福</v>
      </c>
      <c r="G280"/>
    </row>
    <row r="281" spans="1:7" ht="15" x14ac:dyDescent="0.15">
      <c r="A281" s="1" t="s">
        <v>311</v>
      </c>
      <c r="B281" s="1">
        <v>2000</v>
      </c>
      <c r="C281" s="2" t="s">
        <v>182</v>
      </c>
      <c r="D281" s="3" t="str">
        <f>VLOOKUP(A281,武将获取途径!$A:$D,4,0)</f>
        <v>纳贤</v>
      </c>
      <c r="G281"/>
    </row>
    <row r="282" spans="1:7" ht="15" x14ac:dyDescent="0.15">
      <c r="A282" s="1" t="s">
        <v>312</v>
      </c>
      <c r="B282" s="1">
        <v>2000</v>
      </c>
      <c r="C282" s="2" t="s">
        <v>182</v>
      </c>
      <c r="D282" s="3" t="str">
        <f>VLOOKUP(A282,武将获取途径!$A:$D,4,0)</f>
        <v>纳贤</v>
      </c>
      <c r="G282"/>
    </row>
    <row r="283" spans="1:7" ht="15" x14ac:dyDescent="0.15">
      <c r="A283" s="1" t="s">
        <v>313</v>
      </c>
      <c r="B283" s="1">
        <v>2000</v>
      </c>
      <c r="C283" s="2" t="s">
        <v>182</v>
      </c>
      <c r="D283" s="3" t="s">
        <v>239</v>
      </c>
      <c r="G283"/>
    </row>
    <row r="284" spans="1:7" ht="15" x14ac:dyDescent="0.15">
      <c r="A284" s="19" t="s">
        <v>314</v>
      </c>
      <c r="B284" s="19">
        <v>1998</v>
      </c>
      <c r="C284" s="20" t="s">
        <v>315</v>
      </c>
      <c r="D284" s="3" t="str">
        <f>VLOOKUP(A284,武将获取途径!$A:$D,4,0)</f>
        <v>砸蛋</v>
      </c>
      <c r="G284"/>
    </row>
    <row r="285" spans="1:7" ht="15" x14ac:dyDescent="0.15">
      <c r="A285" s="19" t="s">
        <v>316</v>
      </c>
      <c r="B285" s="19">
        <v>1998</v>
      </c>
      <c r="C285" s="20" t="s">
        <v>315</v>
      </c>
      <c r="D285" s="3" t="str">
        <f>VLOOKUP(A285,武将获取途径!$A:$D,4,0)</f>
        <v>纳贤</v>
      </c>
      <c r="G285"/>
    </row>
    <row r="286" spans="1:7" ht="15" x14ac:dyDescent="0.15">
      <c r="A286" s="19" t="s">
        <v>317</v>
      </c>
      <c r="B286" s="19">
        <v>1996</v>
      </c>
      <c r="C286" s="20" t="s">
        <v>315</v>
      </c>
      <c r="D286" s="3" t="str">
        <f>VLOOKUP(A286,武将获取途径!$A:$D,4,0)</f>
        <v>充值奖励</v>
      </c>
      <c r="G286"/>
    </row>
    <row r="287" spans="1:7" ht="15" x14ac:dyDescent="0.15">
      <c r="A287" s="19" t="s">
        <v>318</v>
      </c>
      <c r="B287" s="19">
        <v>1995</v>
      </c>
      <c r="C287" s="20" t="s">
        <v>315</v>
      </c>
      <c r="D287" s="3" t="s">
        <v>47</v>
      </c>
      <c r="F287" s="3">
        <v>2000</v>
      </c>
    </row>
    <row r="288" spans="1:7" ht="15" x14ac:dyDescent="0.15">
      <c r="A288" s="19" t="s">
        <v>319</v>
      </c>
      <c r="B288" s="19">
        <v>1994</v>
      </c>
      <c r="C288" s="20" t="s">
        <v>315</v>
      </c>
      <c r="D288" s="3" t="str">
        <f>VLOOKUP(A288,武将获取途径!$A:$D,4,0)</f>
        <v>如意签</v>
      </c>
      <c r="G288"/>
    </row>
    <row r="289" spans="1:7" ht="15" x14ac:dyDescent="0.15">
      <c r="A289" s="19" t="s">
        <v>320</v>
      </c>
      <c r="B289" s="19">
        <v>1993</v>
      </c>
      <c r="C289" s="20" t="s">
        <v>315</v>
      </c>
      <c r="D289" s="3" t="s">
        <v>47</v>
      </c>
      <c r="F289" s="3">
        <v>1000</v>
      </c>
    </row>
    <row r="290" spans="1:7" ht="15" x14ac:dyDescent="0.15">
      <c r="A290" s="19" t="s">
        <v>321</v>
      </c>
      <c r="B290" s="19">
        <v>1992</v>
      </c>
      <c r="C290" s="20" t="s">
        <v>315</v>
      </c>
      <c r="D290" s="3" t="str">
        <f>VLOOKUP(A290,武将获取途径!$A:$D,4,0)</f>
        <v>纳贤</v>
      </c>
      <c r="G290"/>
    </row>
    <row r="291" spans="1:7" ht="15" x14ac:dyDescent="0.15">
      <c r="A291" s="19" t="s">
        <v>322</v>
      </c>
      <c r="B291" s="19">
        <v>1991</v>
      </c>
      <c r="C291" s="20" t="s">
        <v>315</v>
      </c>
      <c r="D291" s="3" t="str">
        <f>VLOOKUP(A291,武将获取途径!$A:$D,4,0)</f>
        <v>纳贤</v>
      </c>
      <c r="G291"/>
    </row>
    <row r="292" spans="1:7" ht="15" x14ac:dyDescent="0.15">
      <c r="A292" s="19" t="s">
        <v>323</v>
      </c>
      <c r="B292" s="19">
        <v>1991</v>
      </c>
      <c r="C292" s="20" t="s">
        <v>315</v>
      </c>
      <c r="D292" s="3" t="str">
        <f>VLOOKUP(A292,武将获取途径!$A:$D,4,0)</f>
        <v>纳贤</v>
      </c>
      <c r="G292"/>
    </row>
    <row r="293" spans="1:7" ht="15" x14ac:dyDescent="0.15">
      <c r="A293" s="19" t="s">
        <v>324</v>
      </c>
      <c r="B293" s="19">
        <v>1991</v>
      </c>
      <c r="C293" s="20" t="s">
        <v>315</v>
      </c>
      <c r="D293" s="3" t="e">
        <f>VLOOKUP(A293,武将获取途径!$A:$D,4,0)</f>
        <v>#N/A</v>
      </c>
    </row>
    <row r="294" spans="1:7" ht="15" x14ac:dyDescent="0.15">
      <c r="A294" s="19" t="s">
        <v>325</v>
      </c>
      <c r="B294" s="19">
        <v>1991</v>
      </c>
      <c r="C294" s="20" t="s">
        <v>315</v>
      </c>
      <c r="D294" s="3" t="str">
        <f>VLOOKUP(A294,武将获取途径!$A:$D,4,0)</f>
        <v>如意签</v>
      </c>
      <c r="G294"/>
    </row>
    <row r="295" spans="1:7" ht="15" x14ac:dyDescent="0.15">
      <c r="A295" s="19" t="s">
        <v>326</v>
      </c>
      <c r="B295" s="19">
        <v>1988</v>
      </c>
      <c r="C295" s="20" t="s">
        <v>315</v>
      </c>
      <c r="D295" s="3" t="e">
        <f>VLOOKUP(A295,武将获取途径!$A:$D,4,0)</f>
        <v>#N/A</v>
      </c>
    </row>
    <row r="296" spans="1:7" ht="15" x14ac:dyDescent="0.15">
      <c r="A296" s="19" t="s">
        <v>327</v>
      </c>
      <c r="B296" s="19">
        <v>1987</v>
      </c>
      <c r="C296" s="20" t="s">
        <v>315</v>
      </c>
      <c r="D296" s="3" t="str">
        <f>VLOOKUP(A296,武将获取途径!$A:$D,4,0)</f>
        <v>如意签</v>
      </c>
      <c r="G296"/>
    </row>
    <row r="297" spans="1:7" ht="15" x14ac:dyDescent="0.15">
      <c r="A297" s="18" t="s">
        <v>328</v>
      </c>
      <c r="B297" s="19">
        <v>1987</v>
      </c>
      <c r="C297" s="20" t="s">
        <v>315</v>
      </c>
      <c r="D297" s="3" t="e">
        <f>VLOOKUP(A297,武将获取途径!$A:$D,4,0)</f>
        <v>#N/A</v>
      </c>
      <c r="E297" s="3">
        <v>1</v>
      </c>
    </row>
    <row r="298" spans="1:7" ht="15" x14ac:dyDescent="0.15">
      <c r="A298" s="19" t="s">
        <v>329</v>
      </c>
      <c r="B298" s="19">
        <v>1986</v>
      </c>
      <c r="C298" s="20" t="s">
        <v>315</v>
      </c>
      <c r="D298" s="3" t="str">
        <f>VLOOKUP(A298,武将获取途径!$A:$D,4,0)</f>
        <v>纳贤</v>
      </c>
      <c r="G298"/>
    </row>
    <row r="299" spans="1:7" ht="15" x14ac:dyDescent="0.15">
      <c r="A299" s="19" t="s">
        <v>330</v>
      </c>
      <c r="B299" s="19">
        <v>1986</v>
      </c>
      <c r="C299" s="20" t="s">
        <v>315</v>
      </c>
      <c r="D299" s="3" t="str">
        <f>VLOOKUP(A299,武将获取途径!$A:$D,4,0)</f>
        <v>纳贤</v>
      </c>
      <c r="G299"/>
    </row>
    <row r="300" spans="1:7" ht="15" x14ac:dyDescent="0.15">
      <c r="A300" s="19" t="s">
        <v>331</v>
      </c>
      <c r="B300" s="19">
        <v>1983</v>
      </c>
      <c r="C300" s="20" t="s">
        <v>315</v>
      </c>
      <c r="D300" s="3" t="str">
        <f>VLOOKUP(A300,武将获取途径!$A:$D,4,0)</f>
        <v>官阶</v>
      </c>
      <c r="G300"/>
    </row>
    <row r="301" spans="1:7" ht="15" x14ac:dyDescent="0.15">
      <c r="A301" s="19" t="s">
        <v>332</v>
      </c>
      <c r="B301" s="19">
        <v>1982</v>
      </c>
      <c r="C301" s="20" t="s">
        <v>315</v>
      </c>
      <c r="D301" s="3" t="str">
        <f>VLOOKUP(A301,武将获取途径!$A:$D,4,0)</f>
        <v>纳贤</v>
      </c>
      <c r="G301"/>
    </row>
    <row r="302" spans="1:7" ht="15" x14ac:dyDescent="0.15">
      <c r="A302" s="19" t="s">
        <v>333</v>
      </c>
      <c r="B302" s="19">
        <v>1982</v>
      </c>
      <c r="C302" s="20" t="s">
        <v>315</v>
      </c>
      <c r="D302" s="3" t="str">
        <f>VLOOKUP(A302,武将获取途径!$A:$D,4,0)</f>
        <v>纳贤</v>
      </c>
      <c r="G302"/>
    </row>
    <row r="303" spans="1:7" ht="15" x14ac:dyDescent="0.15">
      <c r="A303" s="19" t="s">
        <v>334</v>
      </c>
      <c r="B303" s="19">
        <v>1980</v>
      </c>
      <c r="C303" s="20" t="s">
        <v>315</v>
      </c>
      <c r="D303" s="3" t="e">
        <f>VLOOKUP(A303,武将获取途径!$A:$D,4,0)</f>
        <v>#N/A</v>
      </c>
    </row>
    <row r="304" spans="1:7" ht="15" x14ac:dyDescent="0.15">
      <c r="A304" s="18" t="s">
        <v>335</v>
      </c>
      <c r="B304" s="19">
        <v>1978</v>
      </c>
      <c r="C304" s="20" t="s">
        <v>315</v>
      </c>
      <c r="D304" s="3" t="e">
        <f>VLOOKUP(A304,武将获取途径!$A:$D,4,0)</f>
        <v>#N/A</v>
      </c>
      <c r="E304" s="3">
        <v>1</v>
      </c>
    </row>
    <row r="305" spans="1:7" ht="15" x14ac:dyDescent="0.15">
      <c r="A305" s="19" t="s">
        <v>336</v>
      </c>
      <c r="B305" s="19">
        <v>1977</v>
      </c>
      <c r="C305" s="20" t="s">
        <v>315</v>
      </c>
      <c r="D305" s="3" t="str">
        <f>VLOOKUP(A305,武将获取途径!$A:$D,4,0)</f>
        <v>纳贤</v>
      </c>
      <c r="G305"/>
    </row>
    <row r="306" spans="1:7" ht="15" x14ac:dyDescent="0.15">
      <c r="A306" s="19" t="s">
        <v>337</v>
      </c>
      <c r="B306" s="19">
        <v>1973</v>
      </c>
      <c r="C306" s="20" t="s">
        <v>315</v>
      </c>
      <c r="D306" s="3" t="e">
        <f>VLOOKUP(A306,武将获取途径!$A:$D,4,0)</f>
        <v>#N/A</v>
      </c>
    </row>
    <row r="307" spans="1:7" ht="15" x14ac:dyDescent="0.15">
      <c r="A307" s="19" t="s">
        <v>338</v>
      </c>
      <c r="B307" s="19">
        <v>1972</v>
      </c>
      <c r="C307" s="20" t="s">
        <v>315</v>
      </c>
      <c r="D307" s="3" t="str">
        <f>VLOOKUP(A307,武将获取途径!$A:$D,4,0)</f>
        <v>纳贤</v>
      </c>
      <c r="G307"/>
    </row>
    <row r="308" spans="1:7" ht="15" x14ac:dyDescent="0.15">
      <c r="A308" s="19" t="s">
        <v>339</v>
      </c>
      <c r="B308" s="19">
        <v>1969</v>
      </c>
      <c r="C308" s="20" t="s">
        <v>315</v>
      </c>
      <c r="D308" s="3" t="str">
        <f>VLOOKUP(A308,武将获取途径!$A:$D,4,0)</f>
        <v>将星招募</v>
      </c>
    </row>
    <row r="309" spans="1:7" ht="15" x14ac:dyDescent="0.15">
      <c r="A309" s="19" t="s">
        <v>340</v>
      </c>
      <c r="B309" s="19">
        <v>1969</v>
      </c>
      <c r="C309" s="20" t="s">
        <v>315</v>
      </c>
      <c r="D309" s="3" t="e">
        <f>VLOOKUP(A309,武将获取途径!$A:$D,4,0)</f>
        <v>#N/A</v>
      </c>
    </row>
    <row r="310" spans="1:7" ht="16.5" x14ac:dyDescent="0.15">
      <c r="A310" s="75" t="s">
        <v>845</v>
      </c>
      <c r="B310" s="19">
        <v>1968</v>
      </c>
      <c r="C310" s="20" t="s">
        <v>315</v>
      </c>
      <c r="D310" s="3" t="e">
        <f>VLOOKUP(A310,武将获取途径!$A:$D,4,0)</f>
        <v>#N/A</v>
      </c>
    </row>
    <row r="311" spans="1:7" ht="15" x14ac:dyDescent="0.15">
      <c r="A311" s="19" t="s">
        <v>342</v>
      </c>
      <c r="B311" s="19">
        <v>1967</v>
      </c>
      <c r="C311" s="20" t="s">
        <v>315</v>
      </c>
      <c r="D311" s="3" t="str">
        <f>VLOOKUP(A311,武将获取途径!$A:$D,4,0)</f>
        <v>充值奖励</v>
      </c>
      <c r="G311"/>
    </row>
    <row r="312" spans="1:7" ht="15" x14ac:dyDescent="0.15">
      <c r="A312" s="19" t="s">
        <v>343</v>
      </c>
      <c r="B312" s="19">
        <v>1965</v>
      </c>
      <c r="C312" s="20" t="s">
        <v>315</v>
      </c>
      <c r="D312" s="3" t="e">
        <f>VLOOKUP(A312,武将获取途径!$A:$D,4,0)</f>
        <v>#N/A</v>
      </c>
      <c r="E312" s="3">
        <v>1</v>
      </c>
    </row>
    <row r="313" spans="1:7" ht="15" x14ac:dyDescent="0.15">
      <c r="A313" s="19" t="s">
        <v>344</v>
      </c>
      <c r="B313" s="19">
        <v>1956</v>
      </c>
      <c r="C313" s="20" t="s">
        <v>315</v>
      </c>
      <c r="D313" s="3" t="e">
        <f>VLOOKUP(A313,武将获取途径!$A:$D,4,0)</f>
        <v>#N/A</v>
      </c>
      <c r="E313" s="3">
        <v>1</v>
      </c>
    </row>
    <row r="314" spans="1:7" ht="15" x14ac:dyDescent="0.15">
      <c r="A314" s="19" t="s">
        <v>345</v>
      </c>
      <c r="B314" s="19">
        <v>1953</v>
      </c>
      <c r="C314" s="20" t="s">
        <v>315</v>
      </c>
      <c r="D314" s="3" t="e">
        <f>VLOOKUP(A314,武将获取途径!$A:$D,4,0)</f>
        <v>#N/A</v>
      </c>
    </row>
    <row r="315" spans="1:7" ht="15" x14ac:dyDescent="0.15">
      <c r="A315" s="19" t="s">
        <v>346</v>
      </c>
      <c r="B315" s="19">
        <v>1953</v>
      </c>
      <c r="C315" s="20" t="s">
        <v>315</v>
      </c>
      <c r="D315" s="3" t="e">
        <f>VLOOKUP(A315,武将获取途径!$A:$D,4,0)</f>
        <v>#N/A</v>
      </c>
    </row>
    <row r="316" spans="1:7" ht="15" x14ac:dyDescent="0.15">
      <c r="A316" s="19" t="s">
        <v>347</v>
      </c>
      <c r="B316" s="19">
        <v>1951</v>
      </c>
      <c r="C316" s="20" t="s">
        <v>315</v>
      </c>
      <c r="D316" s="3" t="str">
        <f>VLOOKUP(A316,武将获取途径!$A:$D,4,0)</f>
        <v>官阶</v>
      </c>
      <c r="G316"/>
    </row>
    <row r="317" spans="1:7" ht="15" x14ac:dyDescent="0.15">
      <c r="A317" s="19" t="s">
        <v>348</v>
      </c>
      <c r="B317" s="19">
        <v>1947</v>
      </c>
      <c r="C317" s="20" t="s">
        <v>315</v>
      </c>
      <c r="D317" s="3" t="e">
        <f>VLOOKUP(A317,武将获取途径!$A:$D,4,0)</f>
        <v>#N/A</v>
      </c>
    </row>
    <row r="318" spans="1:7" ht="15" x14ac:dyDescent="0.15">
      <c r="A318" s="19" t="s">
        <v>349</v>
      </c>
      <c r="B318" s="19">
        <v>1946</v>
      </c>
      <c r="C318" s="20" t="s">
        <v>315</v>
      </c>
      <c r="D318" s="3" t="str">
        <f>VLOOKUP(A318,武将获取途径!$A:$D,4,0)</f>
        <v>充值奖励</v>
      </c>
      <c r="G318"/>
    </row>
    <row r="319" spans="1:7" ht="15" x14ac:dyDescent="0.15">
      <c r="A319" s="19" t="s">
        <v>350</v>
      </c>
      <c r="B319" s="19">
        <v>1942</v>
      </c>
      <c r="C319" s="20" t="s">
        <v>315</v>
      </c>
      <c r="D319" s="3" t="str">
        <f>VLOOKUP(A319,武将获取途径!$A:$D,4,0)</f>
        <v>宝玉兑换</v>
      </c>
      <c r="G319"/>
    </row>
    <row r="320" spans="1:7" ht="15" x14ac:dyDescent="0.15">
      <c r="A320" s="19" t="s">
        <v>351</v>
      </c>
      <c r="B320" s="19">
        <v>1941</v>
      </c>
      <c r="C320" s="20" t="s">
        <v>315</v>
      </c>
      <c r="D320" s="3" t="str">
        <f>VLOOKUP(A320,武将获取途径!$A:$D,4,0)</f>
        <v>神将任务</v>
      </c>
    </row>
    <row r="321" spans="1:7" ht="16.5" x14ac:dyDescent="0.15">
      <c r="A321" s="75" t="s">
        <v>846</v>
      </c>
      <c r="B321" s="19">
        <v>1940</v>
      </c>
      <c r="C321" s="20" t="s">
        <v>315</v>
      </c>
      <c r="D321" s="3" t="e">
        <f>VLOOKUP(A321,武将获取途径!$A:$D,4,0)</f>
        <v>#N/A</v>
      </c>
      <c r="E321" s="3">
        <v>1</v>
      </c>
    </row>
    <row r="322" spans="1:7" ht="15" x14ac:dyDescent="0.15">
      <c r="A322" s="19" t="s">
        <v>353</v>
      </c>
      <c r="B322" s="19">
        <v>1936</v>
      </c>
      <c r="C322" s="20" t="s">
        <v>315</v>
      </c>
      <c r="D322" s="3" t="e">
        <f>VLOOKUP(A322,武将获取途径!$A:$D,4,0)</f>
        <v>#N/A</v>
      </c>
    </row>
    <row r="323" spans="1:7" ht="15" x14ac:dyDescent="0.15">
      <c r="A323" s="19" t="s">
        <v>354</v>
      </c>
      <c r="B323" s="19">
        <v>1931</v>
      </c>
      <c r="C323" s="20" t="s">
        <v>315</v>
      </c>
      <c r="D323" s="3" t="str">
        <f>VLOOKUP(A323,武将获取途径!$A:$D,4,0)</f>
        <v>神将任务</v>
      </c>
    </row>
    <row r="324" spans="1:7" ht="15" x14ac:dyDescent="0.15">
      <c r="A324" s="19" t="s">
        <v>355</v>
      </c>
      <c r="B324" s="19">
        <v>1924</v>
      </c>
      <c r="C324" s="20" t="s">
        <v>315</v>
      </c>
      <c r="D324" s="3" t="e">
        <f>VLOOKUP(A324,武将获取途径!$A:$D,4,0)</f>
        <v>#N/A</v>
      </c>
    </row>
    <row r="325" spans="1:7" ht="15" x14ac:dyDescent="0.15">
      <c r="A325" s="19" t="s">
        <v>356</v>
      </c>
      <c r="B325" s="19">
        <v>1920</v>
      </c>
      <c r="C325" s="20" t="s">
        <v>315</v>
      </c>
      <c r="D325" s="3" t="str">
        <f>VLOOKUP(A325,武将获取途径!$A:$D,4,0)</f>
        <v>纳贤</v>
      </c>
      <c r="G325"/>
    </row>
    <row r="326" spans="1:7" ht="15" x14ac:dyDescent="0.15">
      <c r="A326" s="19" t="s">
        <v>357</v>
      </c>
      <c r="B326" s="19">
        <v>1919</v>
      </c>
      <c r="C326" s="20" t="s">
        <v>315</v>
      </c>
      <c r="D326" s="3" t="str">
        <f>VLOOKUP(A326,武将获取途径!$A:$D,4,0)</f>
        <v>将星招募</v>
      </c>
    </row>
    <row r="327" spans="1:7" ht="16.5" x14ac:dyDescent="0.15">
      <c r="A327" s="75" t="s">
        <v>847</v>
      </c>
      <c r="B327" s="19">
        <v>1918</v>
      </c>
      <c r="C327" s="20" t="s">
        <v>315</v>
      </c>
      <c r="D327" s="3" t="e">
        <f>VLOOKUP(A327,武将获取途径!$A:$D,4,0)</f>
        <v>#N/A</v>
      </c>
    </row>
    <row r="328" spans="1:7" ht="15" x14ac:dyDescent="0.15">
      <c r="A328" s="19" t="s">
        <v>359</v>
      </c>
      <c r="B328" s="19">
        <v>1914</v>
      </c>
      <c r="C328" s="20" t="s">
        <v>315</v>
      </c>
      <c r="D328" s="3" t="e">
        <f>VLOOKUP(A328,武将获取途径!$A:$D,4,0)</f>
        <v>#N/A</v>
      </c>
      <c r="E328" s="3">
        <v>1</v>
      </c>
    </row>
    <row r="329" spans="1:7" ht="15" x14ac:dyDescent="0.15">
      <c r="A329" s="19" t="s">
        <v>360</v>
      </c>
      <c r="B329" s="19">
        <v>1914</v>
      </c>
      <c r="C329" s="20" t="s">
        <v>315</v>
      </c>
      <c r="D329" s="3" t="str">
        <f>VLOOKUP(A329,武将获取途径!$A:$D,4,0)</f>
        <v>充值奖励</v>
      </c>
      <c r="G329"/>
    </row>
    <row r="330" spans="1:7" ht="15" x14ac:dyDescent="0.15">
      <c r="A330" s="19" t="s">
        <v>361</v>
      </c>
      <c r="B330" s="19">
        <v>1913</v>
      </c>
      <c r="C330" s="20" t="s">
        <v>315</v>
      </c>
      <c r="D330" s="3" t="str">
        <f>VLOOKUP(A330,武将获取途径!$A:$D,4,0)</f>
        <v>活跃</v>
      </c>
    </row>
    <row r="331" spans="1:7" ht="15" x14ac:dyDescent="0.15">
      <c r="A331" s="19" t="s">
        <v>362</v>
      </c>
      <c r="B331" s="19">
        <v>1910</v>
      </c>
      <c r="C331" s="20" t="s">
        <v>315</v>
      </c>
      <c r="D331" s="3" t="e">
        <f>VLOOKUP(A331,武将获取途径!$A:$D,4,0)</f>
        <v>#N/A</v>
      </c>
    </row>
    <row r="332" spans="1:7" ht="15" x14ac:dyDescent="0.15">
      <c r="A332" s="19" t="s">
        <v>363</v>
      </c>
      <c r="B332" s="19">
        <v>1909</v>
      </c>
      <c r="C332" s="20" t="s">
        <v>315</v>
      </c>
      <c r="D332" s="3" t="e">
        <f>VLOOKUP(A332,武将获取途径!$A:$D,4,0)</f>
        <v>#N/A</v>
      </c>
    </row>
    <row r="333" spans="1:7" ht="15" x14ac:dyDescent="0.15">
      <c r="A333" s="19" t="s">
        <v>364</v>
      </c>
      <c r="B333" s="19">
        <v>1906</v>
      </c>
      <c r="C333" s="20" t="s">
        <v>315</v>
      </c>
      <c r="D333" s="3" t="e">
        <f>VLOOKUP(A333,武将获取途径!$A:$D,4,0)</f>
        <v>#N/A</v>
      </c>
    </row>
    <row r="334" spans="1:7" ht="15" x14ac:dyDescent="0.15">
      <c r="A334" s="19" t="s">
        <v>365</v>
      </c>
      <c r="B334" s="19">
        <v>1905</v>
      </c>
      <c r="C334" s="20" t="s">
        <v>315</v>
      </c>
      <c r="D334" s="3" t="e">
        <f>VLOOKUP(A334,武将获取途径!$A:$D,4,0)</f>
        <v>#N/A</v>
      </c>
    </row>
    <row r="335" spans="1:7" ht="15" x14ac:dyDescent="0.15">
      <c r="A335" s="19" t="s">
        <v>366</v>
      </c>
      <c r="B335" s="19">
        <v>1901</v>
      </c>
      <c r="C335" s="20" t="s">
        <v>315</v>
      </c>
      <c r="D335" s="3" t="e">
        <f>VLOOKUP(A335,武将获取途径!$A:$D,4,0)</f>
        <v>#N/A</v>
      </c>
      <c r="E335" s="3">
        <v>1</v>
      </c>
    </row>
    <row r="336" spans="1:7" ht="15" x14ac:dyDescent="0.15">
      <c r="A336" s="19" t="s">
        <v>367</v>
      </c>
      <c r="B336" s="19">
        <v>1899</v>
      </c>
      <c r="C336" s="20" t="s">
        <v>315</v>
      </c>
      <c r="D336" s="3" t="e">
        <f>VLOOKUP(A336,武将获取途径!$A:$D,4,0)</f>
        <v>#N/A</v>
      </c>
    </row>
    <row r="337" spans="1:7" ht="15" x14ac:dyDescent="0.15">
      <c r="A337" s="19" t="s">
        <v>368</v>
      </c>
      <c r="B337" s="19">
        <v>1897</v>
      </c>
      <c r="C337" s="20" t="s">
        <v>315</v>
      </c>
      <c r="D337" s="3" t="str">
        <f>VLOOKUP(A337,武将获取途径!$A:$D,4,0)</f>
        <v>活跃</v>
      </c>
    </row>
    <row r="338" spans="1:7" ht="15" x14ac:dyDescent="0.15">
      <c r="A338" s="19" t="s">
        <v>369</v>
      </c>
      <c r="B338" s="19">
        <v>1895</v>
      </c>
      <c r="C338" s="20" t="s">
        <v>315</v>
      </c>
      <c r="D338" s="3" t="str">
        <f>VLOOKUP(A338,武将获取途径!$A:$D,4,0)</f>
        <v>如意签</v>
      </c>
      <c r="G338"/>
    </row>
    <row r="339" spans="1:7" ht="15" x14ac:dyDescent="0.15">
      <c r="A339" s="19" t="s">
        <v>370</v>
      </c>
      <c r="B339" s="19">
        <v>1894</v>
      </c>
      <c r="C339" s="20" t="s">
        <v>315</v>
      </c>
      <c r="D339" s="3" t="e">
        <f>VLOOKUP(A339,武将获取途径!$A:$D,4,0)</f>
        <v>#N/A</v>
      </c>
    </row>
    <row r="340" spans="1:7" ht="15" x14ac:dyDescent="0.15">
      <c r="A340" s="19" t="s">
        <v>371</v>
      </c>
      <c r="B340" s="19">
        <v>1888</v>
      </c>
      <c r="C340" s="20" t="s">
        <v>315</v>
      </c>
      <c r="D340" s="3" t="e">
        <f>VLOOKUP(A340,武将获取途径!$A:$D,4,0)</f>
        <v>#N/A</v>
      </c>
    </row>
    <row r="341" spans="1:7" ht="15" x14ac:dyDescent="0.15">
      <c r="A341" s="19" t="s">
        <v>372</v>
      </c>
      <c r="B341" s="19">
        <v>1885</v>
      </c>
      <c r="C341" s="20" t="s">
        <v>315</v>
      </c>
      <c r="D341" s="3" t="e">
        <f>VLOOKUP(A341,武将获取途径!$A:$D,4,0)</f>
        <v>#N/A</v>
      </c>
    </row>
    <row r="342" spans="1:7" ht="15" x14ac:dyDescent="0.15">
      <c r="A342" s="19" t="s">
        <v>373</v>
      </c>
      <c r="B342" s="19">
        <v>1881</v>
      </c>
      <c r="C342" s="20" t="s">
        <v>315</v>
      </c>
      <c r="D342" s="3" t="e">
        <f>VLOOKUP(A342,武将获取途径!$A:$D,4,0)</f>
        <v>#N/A</v>
      </c>
    </row>
    <row r="343" spans="1:7" ht="15" x14ac:dyDescent="0.15">
      <c r="A343" s="19" t="s">
        <v>374</v>
      </c>
      <c r="B343" s="19">
        <v>1875</v>
      </c>
      <c r="C343" s="20" t="s">
        <v>315</v>
      </c>
      <c r="D343" s="3" t="str">
        <f>VLOOKUP(A343,武将获取途径!$A:$D,4,0)</f>
        <v>珍宝</v>
      </c>
      <c r="G343"/>
    </row>
    <row r="344" spans="1:7" ht="15" x14ac:dyDescent="0.15">
      <c r="A344" s="19" t="s">
        <v>375</v>
      </c>
      <c r="B344" s="19">
        <v>1869</v>
      </c>
      <c r="C344" s="20" t="s">
        <v>315</v>
      </c>
      <c r="D344" s="3" t="str">
        <f>VLOOKUP(A344,武将获取途径!$A:$D,4,0)</f>
        <v>纳贤</v>
      </c>
      <c r="G344"/>
    </row>
    <row r="345" spans="1:7" ht="15" x14ac:dyDescent="0.15">
      <c r="A345" s="19" t="s">
        <v>376</v>
      </c>
      <c r="B345" s="19">
        <v>1865</v>
      </c>
      <c r="C345" s="20" t="s">
        <v>315</v>
      </c>
      <c r="D345" s="3" t="str">
        <f>VLOOKUP(A345,武将获取途径!$A:$D,4,0)</f>
        <v>官阶</v>
      </c>
      <c r="G345"/>
    </row>
    <row r="346" spans="1:7" ht="15" x14ac:dyDescent="0.15">
      <c r="A346" s="19" t="s">
        <v>377</v>
      </c>
      <c r="B346" s="19">
        <v>1865</v>
      </c>
      <c r="C346" s="20" t="s">
        <v>315</v>
      </c>
      <c r="D346" s="3" t="e">
        <f>VLOOKUP(A346,武将获取途径!$A:$D,4,0)</f>
        <v>#N/A</v>
      </c>
    </row>
    <row r="347" spans="1:7" ht="15" x14ac:dyDescent="0.15">
      <c r="A347" s="19" t="s">
        <v>378</v>
      </c>
      <c r="B347" s="19">
        <v>1861</v>
      </c>
      <c r="C347" s="20" t="s">
        <v>315</v>
      </c>
      <c r="D347" s="3" t="e">
        <f>VLOOKUP(A347,武将获取途径!$A:$D,4,0)</f>
        <v>#N/A</v>
      </c>
    </row>
    <row r="348" spans="1:7" ht="15" x14ac:dyDescent="0.15">
      <c r="A348" s="19" t="s">
        <v>379</v>
      </c>
      <c r="B348" s="19">
        <v>1859</v>
      </c>
      <c r="C348" s="20" t="s">
        <v>315</v>
      </c>
      <c r="D348" s="3" t="e">
        <f>VLOOKUP(A348,武将获取途径!$A:$D,4,0)</f>
        <v>#N/A</v>
      </c>
    </row>
    <row r="349" spans="1:7" ht="15" x14ac:dyDescent="0.15">
      <c r="A349" s="19" t="s">
        <v>380</v>
      </c>
      <c r="B349" s="19">
        <v>1855</v>
      </c>
      <c r="C349" s="20" t="s">
        <v>315</v>
      </c>
      <c r="D349" s="3" t="e">
        <f>VLOOKUP(A349,武将获取途径!$A:$D,4,0)</f>
        <v>#N/A</v>
      </c>
    </row>
    <row r="350" spans="1:7" ht="15" x14ac:dyDescent="0.15">
      <c r="A350" s="19" t="s">
        <v>381</v>
      </c>
      <c r="B350" s="19">
        <v>1843</v>
      </c>
      <c r="C350" s="20" t="s">
        <v>315</v>
      </c>
      <c r="D350" s="3" t="e">
        <f>VLOOKUP(A350,武将获取途径!$A:$D,4,0)</f>
        <v>#N/A</v>
      </c>
    </row>
    <row r="351" spans="1:7" ht="15" x14ac:dyDescent="0.15">
      <c r="A351" s="19" t="s">
        <v>382</v>
      </c>
      <c r="B351" s="19">
        <v>1840</v>
      </c>
      <c r="C351" s="20" t="s">
        <v>315</v>
      </c>
      <c r="D351" s="3" t="e">
        <f>VLOOKUP(A351,武将获取途径!$A:$D,4,0)</f>
        <v>#N/A</v>
      </c>
    </row>
    <row r="352" spans="1:7" ht="15" x14ac:dyDescent="0.15">
      <c r="A352" s="19" t="s">
        <v>383</v>
      </c>
      <c r="B352" s="19">
        <v>1819</v>
      </c>
      <c r="C352" s="20" t="s">
        <v>315</v>
      </c>
      <c r="D352" s="3" t="str">
        <f>VLOOKUP(A352,武将获取途径!$A:$D,4,0)</f>
        <v>官阶</v>
      </c>
      <c r="G352"/>
    </row>
    <row r="353" spans="1:7" ht="15" x14ac:dyDescent="0.15">
      <c r="A353" s="21" t="s">
        <v>384</v>
      </c>
      <c r="B353" s="21">
        <v>1799</v>
      </c>
      <c r="C353" s="22" t="s">
        <v>385</v>
      </c>
      <c r="D353" s="3" t="e">
        <f>VLOOKUP(A353,武将获取途径!$A:$D,4,0)</f>
        <v>#N/A</v>
      </c>
    </row>
    <row r="354" spans="1:7" ht="15" x14ac:dyDescent="0.15">
      <c r="A354" s="21" t="s">
        <v>386</v>
      </c>
      <c r="B354" s="21">
        <v>1798</v>
      </c>
      <c r="C354" s="22" t="s">
        <v>385</v>
      </c>
      <c r="D354" s="3" t="str">
        <f>VLOOKUP(A354,武将获取途径!$A:$D,4,0)</f>
        <v>充值奖励</v>
      </c>
      <c r="G354"/>
    </row>
    <row r="355" spans="1:7" ht="15" x14ac:dyDescent="0.15">
      <c r="A355" s="21" t="s">
        <v>387</v>
      </c>
      <c r="B355" s="21">
        <v>1796</v>
      </c>
      <c r="C355" s="22" t="s">
        <v>385</v>
      </c>
      <c r="D355" s="3" t="e">
        <f>VLOOKUP(A355,武将获取途径!$A:$D,4,0)</f>
        <v>#N/A</v>
      </c>
      <c r="E355" s="3">
        <v>1</v>
      </c>
    </row>
    <row r="356" spans="1:7" ht="15" x14ac:dyDescent="0.15">
      <c r="A356" s="21" t="s">
        <v>388</v>
      </c>
      <c r="B356" s="21">
        <v>1796</v>
      </c>
      <c r="C356" s="22" t="s">
        <v>385</v>
      </c>
      <c r="D356" s="3" t="e">
        <f>VLOOKUP(A356,武将获取途径!$A:$D,4,0)</f>
        <v>#N/A</v>
      </c>
    </row>
    <row r="357" spans="1:7" ht="15" x14ac:dyDescent="0.15">
      <c r="A357" s="21" t="s">
        <v>389</v>
      </c>
      <c r="B357" s="21">
        <v>1792</v>
      </c>
      <c r="C357" s="22" t="s">
        <v>385</v>
      </c>
      <c r="D357" s="3" t="e">
        <f>VLOOKUP(A357,武将获取途径!$A:$D,4,0)</f>
        <v>#N/A</v>
      </c>
    </row>
    <row r="358" spans="1:7" ht="15" x14ac:dyDescent="0.15">
      <c r="A358" s="21" t="s">
        <v>390</v>
      </c>
      <c r="B358" s="21">
        <v>1792</v>
      </c>
      <c r="C358" s="22" t="s">
        <v>385</v>
      </c>
      <c r="D358" s="3" t="e">
        <f>VLOOKUP(A358,武将获取途径!$A:$D,4,0)</f>
        <v>#N/A</v>
      </c>
    </row>
    <row r="359" spans="1:7" ht="15" x14ac:dyDescent="0.15">
      <c r="A359" s="21" t="s">
        <v>391</v>
      </c>
      <c r="B359" s="21">
        <v>1792</v>
      </c>
      <c r="C359" s="22" t="s">
        <v>385</v>
      </c>
      <c r="D359" s="3" t="e">
        <f>VLOOKUP(A359,武将获取途径!$A:$D,4,0)</f>
        <v>#N/A</v>
      </c>
    </row>
    <row r="360" spans="1:7" ht="15" x14ac:dyDescent="0.15">
      <c r="A360" s="21" t="s">
        <v>392</v>
      </c>
      <c r="B360" s="21">
        <v>1790</v>
      </c>
      <c r="C360" s="22" t="s">
        <v>385</v>
      </c>
      <c r="D360" s="3" t="str">
        <f>VLOOKUP(A360,武将获取途径!$A:$D,4,0)</f>
        <v>神将任务</v>
      </c>
    </row>
    <row r="361" spans="1:7" ht="15" x14ac:dyDescent="0.15">
      <c r="A361" s="21" t="s">
        <v>393</v>
      </c>
      <c r="B361" s="21">
        <v>1790</v>
      </c>
      <c r="C361" s="22" t="s">
        <v>385</v>
      </c>
      <c r="D361" s="3" t="e">
        <f>VLOOKUP(A361,武将获取途径!$A:$D,4,0)</f>
        <v>#N/A</v>
      </c>
      <c r="E361" s="3">
        <v>1</v>
      </c>
    </row>
    <row r="362" spans="1:7" ht="15" x14ac:dyDescent="0.15">
      <c r="A362" s="21" t="s">
        <v>394</v>
      </c>
      <c r="B362" s="21">
        <v>1789</v>
      </c>
      <c r="C362" s="22" t="s">
        <v>385</v>
      </c>
      <c r="D362" s="3" t="e">
        <f>VLOOKUP(A362,武将获取途径!$A:$D,4,0)</f>
        <v>#N/A</v>
      </c>
      <c r="E362" s="3">
        <v>1</v>
      </c>
    </row>
    <row r="363" spans="1:7" ht="15" x14ac:dyDescent="0.15">
      <c r="A363" s="21" t="s">
        <v>395</v>
      </c>
      <c r="B363" s="21">
        <v>1788</v>
      </c>
      <c r="C363" s="22" t="s">
        <v>385</v>
      </c>
      <c r="D363" s="3" t="str">
        <f>VLOOKUP(A363,武将获取途径!$A:$D,4,0)</f>
        <v>如意签</v>
      </c>
      <c r="G363"/>
    </row>
    <row r="364" spans="1:7" ht="15" x14ac:dyDescent="0.15">
      <c r="A364" s="21" t="s">
        <v>396</v>
      </c>
      <c r="B364" s="21">
        <v>1785</v>
      </c>
      <c r="C364" s="22" t="s">
        <v>385</v>
      </c>
      <c r="D364" s="3" t="e">
        <f>VLOOKUP(A364,武将获取途径!$A:$D,4,0)</f>
        <v>#N/A</v>
      </c>
    </row>
    <row r="365" spans="1:7" ht="15" x14ac:dyDescent="0.15">
      <c r="A365" s="21" t="s">
        <v>397</v>
      </c>
      <c r="B365" s="21">
        <v>1784</v>
      </c>
      <c r="C365" s="22" t="s">
        <v>385</v>
      </c>
      <c r="D365" s="3" t="e">
        <f>VLOOKUP(A365,武将获取途径!$A:$D,4,0)</f>
        <v>#N/A</v>
      </c>
    </row>
    <row r="366" spans="1:7" ht="15" x14ac:dyDescent="0.15">
      <c r="A366" s="21" t="s">
        <v>398</v>
      </c>
      <c r="B366" s="21">
        <v>1784</v>
      </c>
      <c r="C366" s="22" t="s">
        <v>385</v>
      </c>
      <c r="D366" s="3" t="e">
        <f>VLOOKUP(A366,武将获取途径!$A:$D,4,0)</f>
        <v>#N/A</v>
      </c>
    </row>
    <row r="367" spans="1:7" ht="15" x14ac:dyDescent="0.15">
      <c r="A367" s="21" t="s">
        <v>399</v>
      </c>
      <c r="B367" s="21">
        <v>1781</v>
      </c>
      <c r="C367" s="22" t="s">
        <v>385</v>
      </c>
      <c r="D367" s="3" t="str">
        <f>VLOOKUP(A367,武将获取途径!$A:$D,4,0)</f>
        <v>新人特惠</v>
      </c>
    </row>
    <row r="368" spans="1:7" ht="15" x14ac:dyDescent="0.15">
      <c r="A368" s="21" t="s">
        <v>400</v>
      </c>
      <c r="B368" s="21">
        <v>1780</v>
      </c>
      <c r="C368" s="22" t="s">
        <v>385</v>
      </c>
      <c r="D368" s="3" t="e">
        <f>VLOOKUP(A368,武将获取途径!$A:$D,4,0)</f>
        <v>#N/A</v>
      </c>
    </row>
    <row r="369" spans="1:7" ht="15" x14ac:dyDescent="0.15">
      <c r="A369" s="21" t="s">
        <v>401</v>
      </c>
      <c r="B369" s="21">
        <v>1780</v>
      </c>
      <c r="C369" s="22" t="s">
        <v>385</v>
      </c>
      <c r="D369" s="3" t="str">
        <f>VLOOKUP(A369,武将获取途径!$A:$D,4,0)</f>
        <v>纳贤</v>
      </c>
      <c r="G369"/>
    </row>
    <row r="370" spans="1:7" ht="15" x14ac:dyDescent="0.15">
      <c r="A370" s="21" t="s">
        <v>402</v>
      </c>
      <c r="B370" s="21">
        <v>1779</v>
      </c>
      <c r="C370" s="22" t="s">
        <v>385</v>
      </c>
      <c r="D370" s="3" t="e">
        <f>VLOOKUP(A370,武将获取途径!$A:$D,4,0)</f>
        <v>#N/A</v>
      </c>
    </row>
    <row r="371" spans="1:7" ht="15" x14ac:dyDescent="0.15">
      <c r="A371" s="21" t="s">
        <v>403</v>
      </c>
      <c r="B371" s="21">
        <v>1778</v>
      </c>
      <c r="C371" s="22" t="s">
        <v>385</v>
      </c>
      <c r="D371" s="3" t="e">
        <f>VLOOKUP(A371,武将获取途径!$A:$D,4,0)</f>
        <v>#N/A</v>
      </c>
    </row>
    <row r="372" spans="1:7" ht="15" x14ac:dyDescent="0.15">
      <c r="A372" s="21" t="s">
        <v>404</v>
      </c>
      <c r="B372" s="21">
        <v>1776</v>
      </c>
      <c r="C372" s="22" t="s">
        <v>385</v>
      </c>
      <c r="D372" s="3" t="e">
        <f>VLOOKUP(A372,武将获取途径!$A:$D,4,0)</f>
        <v>#N/A</v>
      </c>
    </row>
    <row r="373" spans="1:7" ht="15" x14ac:dyDescent="0.15">
      <c r="A373" s="21" t="s">
        <v>405</v>
      </c>
      <c r="B373" s="21">
        <v>1775</v>
      </c>
      <c r="C373" s="22" t="s">
        <v>385</v>
      </c>
      <c r="D373" s="3" t="e">
        <f>VLOOKUP(A373,武将获取途径!$A:$D,4,0)</f>
        <v>#N/A</v>
      </c>
    </row>
    <row r="374" spans="1:7" ht="15" x14ac:dyDescent="0.15">
      <c r="A374" s="21" t="s">
        <v>406</v>
      </c>
      <c r="B374" s="21">
        <v>1774</v>
      </c>
      <c r="C374" s="22" t="s">
        <v>385</v>
      </c>
      <c r="D374" s="3" t="e">
        <f>VLOOKUP(A374,武将获取途径!$A:$D,4,0)</f>
        <v>#N/A</v>
      </c>
    </row>
    <row r="375" spans="1:7" ht="15" x14ac:dyDescent="0.15">
      <c r="A375" s="21" t="s">
        <v>407</v>
      </c>
      <c r="B375" s="21">
        <v>1772</v>
      </c>
      <c r="C375" s="22" t="s">
        <v>385</v>
      </c>
      <c r="D375" s="3" t="e">
        <f>VLOOKUP(A375,武将获取途径!$A:$D,4,0)</f>
        <v>#N/A</v>
      </c>
    </row>
    <row r="376" spans="1:7" ht="15" x14ac:dyDescent="0.15">
      <c r="A376" s="21" t="s">
        <v>408</v>
      </c>
      <c r="B376" s="21">
        <v>1770</v>
      </c>
      <c r="C376" s="22" t="s">
        <v>385</v>
      </c>
      <c r="D376" s="3" t="e">
        <f>VLOOKUP(A376,武将获取途径!$A:$D,4,0)</f>
        <v>#N/A</v>
      </c>
    </row>
    <row r="377" spans="1:7" ht="15" x14ac:dyDescent="0.15">
      <c r="A377" s="21" t="s">
        <v>409</v>
      </c>
      <c r="B377" s="21">
        <v>1769</v>
      </c>
      <c r="C377" s="22" t="s">
        <v>385</v>
      </c>
      <c r="D377" s="3" t="str">
        <f>VLOOKUP(A377,武将获取途径!$A:$D,4,0)</f>
        <v>纳贤</v>
      </c>
      <c r="G377"/>
    </row>
    <row r="378" spans="1:7" ht="15" x14ac:dyDescent="0.15">
      <c r="A378" s="21" t="s">
        <v>410</v>
      </c>
      <c r="B378" s="21">
        <v>1769</v>
      </c>
      <c r="C378" s="22" t="s">
        <v>385</v>
      </c>
      <c r="D378" s="3" t="e">
        <f>VLOOKUP(A378,武将获取途径!$A:$D,4,0)</f>
        <v>#N/A</v>
      </c>
    </row>
    <row r="379" spans="1:7" ht="15" x14ac:dyDescent="0.15">
      <c r="A379" s="21" t="s">
        <v>411</v>
      </c>
      <c r="B379" s="21">
        <v>1766</v>
      </c>
      <c r="C379" s="22" t="s">
        <v>385</v>
      </c>
      <c r="D379" s="3" t="str">
        <f>VLOOKUP(A379,武将获取途径!$A:$D,4,0)</f>
        <v>充值奖励</v>
      </c>
      <c r="G379"/>
    </row>
    <row r="380" spans="1:7" ht="15" x14ac:dyDescent="0.15">
      <c r="A380" s="21" t="s">
        <v>412</v>
      </c>
      <c r="B380" s="21">
        <v>1763</v>
      </c>
      <c r="C380" s="22" t="s">
        <v>385</v>
      </c>
      <c r="D380" s="3" t="e">
        <f>VLOOKUP(A380,武将获取途径!$A:$D,4,0)</f>
        <v>#N/A</v>
      </c>
    </row>
    <row r="381" spans="1:7" ht="15" x14ac:dyDescent="0.15">
      <c r="A381" s="21" t="s">
        <v>413</v>
      </c>
      <c r="B381" s="21">
        <v>1761</v>
      </c>
      <c r="C381" s="22" t="s">
        <v>385</v>
      </c>
      <c r="D381" s="3" t="e">
        <f>VLOOKUP(A381,武将获取途径!$A:$D,4,0)</f>
        <v>#N/A</v>
      </c>
    </row>
    <row r="382" spans="1:7" ht="15" x14ac:dyDescent="0.15">
      <c r="A382" s="21" t="s">
        <v>414</v>
      </c>
      <c r="B382" s="21">
        <v>1761</v>
      </c>
      <c r="C382" s="22" t="s">
        <v>385</v>
      </c>
      <c r="D382" s="3" t="e">
        <f>VLOOKUP(A382,武将获取途径!$A:$D,4,0)</f>
        <v>#N/A</v>
      </c>
    </row>
    <row r="383" spans="1:7" ht="15" x14ac:dyDescent="0.15">
      <c r="A383" s="21" t="s">
        <v>415</v>
      </c>
      <c r="B383" s="21">
        <v>1760</v>
      </c>
      <c r="C383" s="22" t="s">
        <v>385</v>
      </c>
      <c r="D383" s="3" t="e">
        <f>VLOOKUP(A383,武将获取途径!$A:$D,4,0)</f>
        <v>#N/A</v>
      </c>
    </row>
    <row r="384" spans="1:7" ht="15" x14ac:dyDescent="0.15">
      <c r="A384" s="21" t="s">
        <v>416</v>
      </c>
      <c r="B384" s="21">
        <v>1759</v>
      </c>
      <c r="C384" s="22" t="s">
        <v>385</v>
      </c>
      <c r="D384" s="3" t="e">
        <f>VLOOKUP(A384,武将获取途径!$A:$D,4,0)</f>
        <v>#N/A</v>
      </c>
    </row>
    <row r="385" spans="1:7" ht="15" x14ac:dyDescent="0.15">
      <c r="A385" s="21" t="s">
        <v>417</v>
      </c>
      <c r="B385" s="21">
        <v>1757</v>
      </c>
      <c r="C385" s="22" t="s">
        <v>385</v>
      </c>
      <c r="D385" s="3" t="e">
        <f>VLOOKUP(A385,武将获取途径!$A:$D,4,0)</f>
        <v>#N/A</v>
      </c>
    </row>
    <row r="386" spans="1:7" ht="15" x14ac:dyDescent="0.15">
      <c r="A386" s="21" t="s">
        <v>418</v>
      </c>
      <c r="B386" s="21">
        <v>1754</v>
      </c>
      <c r="C386" s="22" t="s">
        <v>385</v>
      </c>
      <c r="D386" s="3" t="e">
        <f>VLOOKUP(A386,武将获取途径!$A:$D,4,0)</f>
        <v>#N/A</v>
      </c>
    </row>
    <row r="387" spans="1:7" ht="15" x14ac:dyDescent="0.15">
      <c r="A387" s="21" t="s">
        <v>419</v>
      </c>
      <c r="B387" s="21">
        <v>1753</v>
      </c>
      <c r="C387" s="22" t="s">
        <v>385</v>
      </c>
      <c r="D387" s="3" t="e">
        <f>VLOOKUP(A387,武将获取途径!$A:$D,4,0)</f>
        <v>#N/A</v>
      </c>
    </row>
    <row r="388" spans="1:7" ht="15" x14ac:dyDescent="0.15">
      <c r="A388" s="21" t="s">
        <v>420</v>
      </c>
      <c r="B388" s="21">
        <v>1753</v>
      </c>
      <c r="C388" s="22" t="s">
        <v>385</v>
      </c>
      <c r="D388" s="3" t="e">
        <f>VLOOKUP(A388,武将获取途径!$A:$D,4,0)</f>
        <v>#N/A</v>
      </c>
    </row>
    <row r="389" spans="1:7" ht="15" x14ac:dyDescent="0.15">
      <c r="A389" s="21" t="s">
        <v>421</v>
      </c>
      <c r="B389" s="21">
        <v>1752</v>
      </c>
      <c r="C389" s="22" t="s">
        <v>385</v>
      </c>
      <c r="D389" s="3" t="e">
        <f>VLOOKUP(A389,武将获取途径!$A:$D,4,0)</f>
        <v>#N/A</v>
      </c>
    </row>
    <row r="390" spans="1:7" ht="15" x14ac:dyDescent="0.15">
      <c r="A390" s="21" t="s">
        <v>422</v>
      </c>
      <c r="B390" s="21">
        <v>1751</v>
      </c>
      <c r="C390" s="22" t="s">
        <v>385</v>
      </c>
      <c r="D390" s="3" t="e">
        <f>VLOOKUP(A390,武将获取途径!$A:$D,4,0)</f>
        <v>#N/A</v>
      </c>
    </row>
    <row r="391" spans="1:7" ht="15" x14ac:dyDescent="0.15">
      <c r="A391" s="21" t="s">
        <v>423</v>
      </c>
      <c r="B391" s="21">
        <v>1748</v>
      </c>
      <c r="C391" s="22" t="s">
        <v>385</v>
      </c>
      <c r="D391" s="3" t="str">
        <f>VLOOKUP(A391,武将获取途径!$A:$D,4,0)</f>
        <v>将星招募</v>
      </c>
    </row>
    <row r="392" spans="1:7" ht="15" x14ac:dyDescent="0.15">
      <c r="A392" s="21" t="s">
        <v>424</v>
      </c>
      <c r="B392" s="21">
        <v>1746</v>
      </c>
      <c r="C392" s="22" t="s">
        <v>385</v>
      </c>
      <c r="D392" s="3" t="e">
        <f>VLOOKUP(A392,武将获取途径!$A:$D,4,0)</f>
        <v>#N/A</v>
      </c>
    </row>
    <row r="393" spans="1:7" ht="15" x14ac:dyDescent="0.15">
      <c r="A393" s="21" t="s">
        <v>425</v>
      </c>
      <c r="B393" s="21">
        <v>1746</v>
      </c>
      <c r="C393" s="22" t="s">
        <v>385</v>
      </c>
      <c r="D393" s="3" t="str">
        <f>VLOOKUP(A393,武将获取途径!$A:$D,4,0)</f>
        <v>如意签</v>
      </c>
      <c r="G393"/>
    </row>
    <row r="394" spans="1:7" ht="15" x14ac:dyDescent="0.15">
      <c r="A394" s="21" t="s">
        <v>426</v>
      </c>
      <c r="B394" s="21">
        <v>1743</v>
      </c>
      <c r="C394" s="22" t="s">
        <v>385</v>
      </c>
      <c r="D394" s="3" t="e">
        <f>VLOOKUP(A394,武将获取途径!$A:$D,4,0)</f>
        <v>#N/A</v>
      </c>
    </row>
    <row r="395" spans="1:7" ht="15" x14ac:dyDescent="0.15">
      <c r="A395" s="21" t="s">
        <v>427</v>
      </c>
      <c r="B395" s="21">
        <v>1740</v>
      </c>
      <c r="C395" s="22" t="s">
        <v>385</v>
      </c>
      <c r="D395" s="3" t="e">
        <f>VLOOKUP(A395,武将获取途径!$A:$D,4,0)</f>
        <v>#N/A</v>
      </c>
    </row>
    <row r="396" spans="1:7" ht="15" x14ac:dyDescent="0.15">
      <c r="A396" s="21" t="s">
        <v>428</v>
      </c>
      <c r="B396" s="21">
        <v>1739</v>
      </c>
      <c r="C396" s="22" t="s">
        <v>385</v>
      </c>
      <c r="D396" s="3" t="e">
        <f>VLOOKUP(A396,武将获取途径!$A:$D,4,0)</f>
        <v>#N/A</v>
      </c>
    </row>
    <row r="397" spans="1:7" ht="15" x14ac:dyDescent="0.15">
      <c r="A397" s="21" t="s">
        <v>429</v>
      </c>
      <c r="B397" s="21">
        <v>1739</v>
      </c>
      <c r="C397" s="22" t="s">
        <v>385</v>
      </c>
      <c r="D397" s="3" t="e">
        <f>VLOOKUP(A397,武将获取途径!$A:$D,4,0)</f>
        <v>#N/A</v>
      </c>
    </row>
    <row r="398" spans="1:7" ht="15" x14ac:dyDescent="0.15">
      <c r="A398" s="21" t="s">
        <v>430</v>
      </c>
      <c r="B398" s="21">
        <v>1739</v>
      </c>
      <c r="C398" s="22" t="s">
        <v>385</v>
      </c>
      <c r="D398" s="3" t="e">
        <f>VLOOKUP(A398,武将获取途径!$A:$D,4,0)</f>
        <v>#N/A</v>
      </c>
    </row>
    <row r="399" spans="1:7" ht="15" x14ac:dyDescent="0.15">
      <c r="A399" s="21" t="s">
        <v>431</v>
      </c>
      <c r="B399" s="21">
        <v>1739</v>
      </c>
      <c r="C399" s="22" t="s">
        <v>385</v>
      </c>
      <c r="D399" s="3" t="e">
        <f>VLOOKUP(A399,武将获取途径!$A:$D,4,0)</f>
        <v>#N/A</v>
      </c>
    </row>
    <row r="400" spans="1:7" ht="15" x14ac:dyDescent="0.15">
      <c r="A400" s="21" t="s">
        <v>432</v>
      </c>
      <c r="B400" s="21">
        <v>1738</v>
      </c>
      <c r="C400" s="22" t="s">
        <v>385</v>
      </c>
      <c r="D400" s="3" t="e">
        <f>VLOOKUP(A400,武将获取途径!$A:$D,4,0)</f>
        <v>#N/A</v>
      </c>
    </row>
    <row r="401" spans="1:5" ht="15" x14ac:dyDescent="0.15">
      <c r="A401" s="21" t="s">
        <v>433</v>
      </c>
      <c r="B401" s="21">
        <v>1738</v>
      </c>
      <c r="C401" s="22" t="s">
        <v>385</v>
      </c>
      <c r="D401" s="3" t="e">
        <f>VLOOKUP(A401,武将获取途径!$A:$D,4,0)</f>
        <v>#N/A</v>
      </c>
    </row>
    <row r="402" spans="1:5" ht="15" x14ac:dyDescent="0.15">
      <c r="A402" s="21" t="s">
        <v>434</v>
      </c>
      <c r="B402" s="21">
        <v>1738</v>
      </c>
      <c r="C402" s="22" t="s">
        <v>385</v>
      </c>
      <c r="D402" s="3" t="e">
        <f>VLOOKUP(A402,武将获取途径!$A:$D,4,0)</f>
        <v>#N/A</v>
      </c>
    </row>
    <row r="403" spans="1:5" ht="15" x14ac:dyDescent="0.15">
      <c r="A403" s="21" t="s">
        <v>435</v>
      </c>
      <c r="B403" s="21">
        <v>1737</v>
      </c>
      <c r="C403" s="22" t="s">
        <v>385</v>
      </c>
      <c r="D403" s="3" t="e">
        <f>VLOOKUP(A403,武将获取途径!$A:$D,4,0)</f>
        <v>#N/A</v>
      </c>
    </row>
    <row r="404" spans="1:5" ht="15" x14ac:dyDescent="0.15">
      <c r="A404" s="21" t="s">
        <v>436</v>
      </c>
      <c r="B404" s="21">
        <v>1734</v>
      </c>
      <c r="C404" s="22" t="s">
        <v>385</v>
      </c>
      <c r="D404" s="3" t="e">
        <f>VLOOKUP(A404,武将获取途径!$A:$D,4,0)</f>
        <v>#N/A</v>
      </c>
    </row>
    <row r="405" spans="1:5" ht="15" x14ac:dyDescent="0.15">
      <c r="A405" s="21" t="s">
        <v>437</v>
      </c>
      <c r="B405" s="21">
        <v>1732</v>
      </c>
      <c r="C405" s="22" t="s">
        <v>385</v>
      </c>
      <c r="D405" s="3" t="e">
        <f>VLOOKUP(A405,武将获取途径!$A:$D,4,0)</f>
        <v>#N/A</v>
      </c>
    </row>
    <row r="406" spans="1:5" ht="15" x14ac:dyDescent="0.15">
      <c r="A406" s="21" t="s">
        <v>438</v>
      </c>
      <c r="B406" s="21">
        <v>1732</v>
      </c>
      <c r="C406" s="22" t="s">
        <v>385</v>
      </c>
      <c r="D406" s="3" t="e">
        <f>VLOOKUP(A406,武将获取途径!$A:$D,4,0)</f>
        <v>#N/A</v>
      </c>
    </row>
    <row r="407" spans="1:5" ht="15" x14ac:dyDescent="0.15">
      <c r="A407" s="21" t="s">
        <v>439</v>
      </c>
      <c r="B407" s="21">
        <v>1732</v>
      </c>
      <c r="C407" s="22" t="s">
        <v>385</v>
      </c>
      <c r="D407" s="3" t="e">
        <f>VLOOKUP(A407,武将获取途径!$A:$D,4,0)</f>
        <v>#N/A</v>
      </c>
    </row>
    <row r="408" spans="1:5" ht="15" x14ac:dyDescent="0.15">
      <c r="A408" s="21" t="s">
        <v>440</v>
      </c>
      <c r="B408" s="21">
        <v>1731</v>
      </c>
      <c r="C408" s="22" t="s">
        <v>385</v>
      </c>
      <c r="D408" s="3" t="e">
        <f>VLOOKUP(A408,武将获取途径!$A:$D,4,0)</f>
        <v>#N/A</v>
      </c>
    </row>
    <row r="409" spans="1:5" ht="15" x14ac:dyDescent="0.15">
      <c r="A409" s="21" t="s">
        <v>441</v>
      </c>
      <c r="B409" s="21">
        <v>1730</v>
      </c>
      <c r="C409" s="22" t="s">
        <v>385</v>
      </c>
      <c r="D409" s="3" t="e">
        <f>VLOOKUP(A409,武将获取途径!$A:$D,4,0)</f>
        <v>#N/A</v>
      </c>
    </row>
    <row r="410" spans="1:5" ht="15" x14ac:dyDescent="0.15">
      <c r="A410" s="21" t="s">
        <v>442</v>
      </c>
      <c r="B410" s="21">
        <v>1729</v>
      </c>
      <c r="C410" s="22" t="s">
        <v>385</v>
      </c>
      <c r="D410" s="3" t="e">
        <f>VLOOKUP(A410,武将获取途径!$A:$D,4,0)</f>
        <v>#N/A</v>
      </c>
    </row>
    <row r="411" spans="1:5" ht="15" x14ac:dyDescent="0.15">
      <c r="A411" s="21" t="s">
        <v>443</v>
      </c>
      <c r="B411" s="21">
        <v>1727</v>
      </c>
      <c r="C411" s="22" t="s">
        <v>385</v>
      </c>
      <c r="D411" s="3" t="e">
        <f>VLOOKUP(A411,武将获取途径!$A:$D,4,0)</f>
        <v>#N/A</v>
      </c>
    </row>
    <row r="412" spans="1:5" ht="15" x14ac:dyDescent="0.15">
      <c r="A412" s="21" t="s">
        <v>444</v>
      </c>
      <c r="B412" s="21">
        <v>1726</v>
      </c>
      <c r="C412" s="22" t="s">
        <v>385</v>
      </c>
      <c r="D412" s="3" t="e">
        <f>VLOOKUP(A412,武将获取途径!$A:$D,4,0)</f>
        <v>#N/A</v>
      </c>
      <c r="E412" s="3">
        <v>1</v>
      </c>
    </row>
    <row r="413" spans="1:5" ht="15" x14ac:dyDescent="0.15">
      <c r="A413" s="21" t="s">
        <v>445</v>
      </c>
      <c r="B413" s="21">
        <v>1725</v>
      </c>
      <c r="C413" s="22" t="s">
        <v>385</v>
      </c>
      <c r="D413" s="3" t="e">
        <f>VLOOKUP(A413,武将获取途径!$A:$D,4,0)</f>
        <v>#N/A</v>
      </c>
      <c r="E413" s="3">
        <v>1</v>
      </c>
    </row>
    <row r="414" spans="1:5" ht="15" x14ac:dyDescent="0.15">
      <c r="A414" s="21" t="s">
        <v>446</v>
      </c>
      <c r="B414" s="21">
        <v>1724</v>
      </c>
      <c r="C414" s="22" t="s">
        <v>385</v>
      </c>
      <c r="D414" s="3" t="e">
        <f>VLOOKUP(A414,武将获取途径!$A:$D,4,0)</f>
        <v>#N/A</v>
      </c>
    </row>
    <row r="415" spans="1:5" ht="15" x14ac:dyDescent="0.15">
      <c r="A415" s="21" t="s">
        <v>447</v>
      </c>
      <c r="B415" s="21">
        <v>1723</v>
      </c>
      <c r="C415" s="22" t="s">
        <v>385</v>
      </c>
      <c r="D415" s="3" t="e">
        <f>VLOOKUP(A415,武将获取途径!$A:$D,4,0)</f>
        <v>#N/A</v>
      </c>
    </row>
    <row r="416" spans="1:5" ht="15" x14ac:dyDescent="0.15">
      <c r="A416" s="21" t="s">
        <v>448</v>
      </c>
      <c r="B416" s="21">
        <v>1722</v>
      </c>
      <c r="C416" s="22" t="s">
        <v>385</v>
      </c>
      <c r="D416" s="3" t="e">
        <f>VLOOKUP(A416,武将获取途径!$A:$D,4,0)</f>
        <v>#N/A</v>
      </c>
    </row>
    <row r="417" spans="1:7" ht="15" x14ac:dyDescent="0.15">
      <c r="A417" s="21" t="s">
        <v>449</v>
      </c>
      <c r="B417" s="21">
        <v>1721</v>
      </c>
      <c r="C417" s="22" t="s">
        <v>385</v>
      </c>
      <c r="D417" s="3" t="e">
        <f>VLOOKUP(A417,武将获取途径!$A:$D,4,0)</f>
        <v>#N/A</v>
      </c>
    </row>
    <row r="418" spans="1:7" ht="15" x14ac:dyDescent="0.15">
      <c r="A418" s="21" t="s">
        <v>450</v>
      </c>
      <c r="B418" s="21">
        <v>1719</v>
      </c>
      <c r="C418" s="22" t="s">
        <v>385</v>
      </c>
      <c r="D418" s="3" t="str">
        <f>VLOOKUP(A418,武将获取途径!$A:$D,4,0)</f>
        <v>将星招募</v>
      </c>
    </row>
    <row r="419" spans="1:7" ht="15" x14ac:dyDescent="0.15">
      <c r="A419" s="21" t="s">
        <v>451</v>
      </c>
      <c r="B419" s="21">
        <v>1716</v>
      </c>
      <c r="C419" s="22" t="s">
        <v>385</v>
      </c>
      <c r="D419" s="3" t="e">
        <f>VLOOKUP(A419,武将获取途径!$A:$D,4,0)</f>
        <v>#N/A</v>
      </c>
    </row>
    <row r="420" spans="1:7" ht="15" x14ac:dyDescent="0.15">
      <c r="A420" s="21" t="s">
        <v>452</v>
      </c>
      <c r="B420" s="21">
        <v>1715</v>
      </c>
      <c r="C420" s="22" t="s">
        <v>385</v>
      </c>
      <c r="D420" s="3" t="e">
        <f>VLOOKUP(A420,武将获取途径!$A:$D,4,0)</f>
        <v>#N/A</v>
      </c>
    </row>
    <row r="421" spans="1:7" ht="15" x14ac:dyDescent="0.15">
      <c r="A421" s="21" t="s">
        <v>453</v>
      </c>
      <c r="B421" s="21">
        <v>1713</v>
      </c>
      <c r="C421" s="22" t="s">
        <v>385</v>
      </c>
      <c r="D421" s="3" t="e">
        <f>VLOOKUP(A421,武将获取途径!$A:$D,4,0)</f>
        <v>#N/A</v>
      </c>
    </row>
    <row r="422" spans="1:7" ht="15" x14ac:dyDescent="0.15">
      <c r="A422" s="21" t="s">
        <v>454</v>
      </c>
      <c r="B422" s="21">
        <v>1712</v>
      </c>
      <c r="C422" s="22" t="s">
        <v>385</v>
      </c>
      <c r="D422" s="3" t="str">
        <f>VLOOKUP(A422,武将获取途径!$A:$D,4,0)</f>
        <v>充值奖励</v>
      </c>
      <c r="G422"/>
    </row>
    <row r="423" spans="1:7" ht="15" x14ac:dyDescent="0.15">
      <c r="A423" s="21" t="s">
        <v>455</v>
      </c>
      <c r="B423" s="21">
        <v>1711</v>
      </c>
      <c r="C423" s="22" t="s">
        <v>385</v>
      </c>
      <c r="D423" s="3" t="e">
        <f>VLOOKUP(A423,武将获取途径!$A:$D,4,0)</f>
        <v>#N/A</v>
      </c>
    </row>
    <row r="424" spans="1:7" ht="15" x14ac:dyDescent="0.15">
      <c r="A424" s="21" t="s">
        <v>456</v>
      </c>
      <c r="B424" s="21">
        <v>1705</v>
      </c>
      <c r="C424" s="22" t="s">
        <v>385</v>
      </c>
      <c r="D424" s="3" t="e">
        <f>VLOOKUP(A424,武将获取途径!$A:$D,4,0)</f>
        <v>#N/A</v>
      </c>
    </row>
    <row r="425" spans="1:7" ht="15" x14ac:dyDescent="0.15">
      <c r="A425" s="21" t="s">
        <v>457</v>
      </c>
      <c r="B425" s="21">
        <v>1704</v>
      </c>
      <c r="C425" s="22" t="s">
        <v>385</v>
      </c>
      <c r="D425" s="3" t="e">
        <f>VLOOKUP(A425,武将获取途径!$A:$D,4,0)</f>
        <v>#N/A</v>
      </c>
    </row>
    <row r="426" spans="1:7" ht="15" x14ac:dyDescent="0.15">
      <c r="A426" s="21" t="s">
        <v>458</v>
      </c>
      <c r="B426" s="21">
        <v>1704</v>
      </c>
      <c r="C426" s="22" t="s">
        <v>385</v>
      </c>
      <c r="D426" s="3" t="e">
        <f>VLOOKUP(A426,武将获取途径!$A:$D,4,0)</f>
        <v>#N/A</v>
      </c>
    </row>
    <row r="427" spans="1:7" ht="15" x14ac:dyDescent="0.15">
      <c r="A427" s="21" t="s">
        <v>459</v>
      </c>
      <c r="B427" s="21">
        <v>1701</v>
      </c>
      <c r="C427" s="22" t="s">
        <v>385</v>
      </c>
      <c r="D427" s="3" t="e">
        <f>VLOOKUP(A427,武将获取途径!$A:$D,4,0)</f>
        <v>#N/A</v>
      </c>
    </row>
    <row r="428" spans="1:7" ht="15" x14ac:dyDescent="0.15">
      <c r="A428" s="21" t="s">
        <v>460</v>
      </c>
      <c r="B428" s="21">
        <v>1700</v>
      </c>
      <c r="C428" s="22" t="s">
        <v>385</v>
      </c>
      <c r="D428" s="3" t="e">
        <f>VLOOKUP(A428,武将获取途径!$A:$D,4,0)</f>
        <v>#N/A</v>
      </c>
    </row>
    <row r="429" spans="1:7" ht="15" x14ac:dyDescent="0.15">
      <c r="A429" s="21" t="s">
        <v>461</v>
      </c>
      <c r="B429" s="21">
        <v>1698</v>
      </c>
      <c r="C429" s="22" t="s">
        <v>385</v>
      </c>
      <c r="D429" s="3" t="str">
        <f>VLOOKUP(A429,武将获取途径!$A:$D,4,0)</f>
        <v>充值奖励</v>
      </c>
      <c r="G429"/>
    </row>
    <row r="430" spans="1:7" ht="15" x14ac:dyDescent="0.15">
      <c r="A430" s="21" t="s">
        <v>462</v>
      </c>
      <c r="B430" s="21">
        <v>1698</v>
      </c>
      <c r="C430" s="22" t="s">
        <v>385</v>
      </c>
      <c r="D430" s="3" t="str">
        <f>VLOOKUP(A430,武将获取途径!$A:$D,4,0)</f>
        <v>纳贤</v>
      </c>
      <c r="G430"/>
    </row>
    <row r="431" spans="1:7" ht="15" x14ac:dyDescent="0.15">
      <c r="A431" s="21" t="s">
        <v>463</v>
      </c>
      <c r="B431" s="21">
        <v>1697</v>
      </c>
      <c r="C431" s="22" t="s">
        <v>385</v>
      </c>
      <c r="D431" s="3" t="e">
        <f>VLOOKUP(A431,武将获取途径!$A:$D,4,0)</f>
        <v>#N/A</v>
      </c>
    </row>
    <row r="432" spans="1:7" ht="15" x14ac:dyDescent="0.15">
      <c r="A432" s="21" t="s">
        <v>464</v>
      </c>
      <c r="B432" s="21">
        <v>1697</v>
      </c>
      <c r="C432" s="22" t="s">
        <v>385</v>
      </c>
      <c r="D432" s="3" t="e">
        <f>VLOOKUP(A432,武将获取途径!$A:$D,4,0)</f>
        <v>#N/A</v>
      </c>
    </row>
    <row r="433" spans="1:7" ht="15" x14ac:dyDescent="0.15">
      <c r="A433" s="21" t="s">
        <v>465</v>
      </c>
      <c r="B433" s="21">
        <v>1696</v>
      </c>
      <c r="C433" s="22" t="s">
        <v>385</v>
      </c>
      <c r="D433" s="3" t="str">
        <f>VLOOKUP(A433,武将获取途径!$A:$D,4,0)</f>
        <v>纳贤</v>
      </c>
      <c r="G433"/>
    </row>
    <row r="434" spans="1:7" ht="15" x14ac:dyDescent="0.15">
      <c r="A434" s="21" t="s">
        <v>466</v>
      </c>
      <c r="B434" s="21">
        <v>1695</v>
      </c>
      <c r="C434" s="22" t="s">
        <v>385</v>
      </c>
      <c r="D434" s="3" t="e">
        <f>VLOOKUP(A434,武将获取途径!$A:$D,4,0)</f>
        <v>#N/A</v>
      </c>
    </row>
    <row r="435" spans="1:7" ht="15" x14ac:dyDescent="0.15">
      <c r="A435" s="21" t="s">
        <v>467</v>
      </c>
      <c r="B435" s="21">
        <v>1693</v>
      </c>
      <c r="C435" s="22" t="s">
        <v>385</v>
      </c>
      <c r="D435" s="3" t="e">
        <f>VLOOKUP(A435,武将获取途径!$A:$D,4,0)</f>
        <v>#N/A</v>
      </c>
    </row>
    <row r="436" spans="1:7" ht="15" x14ac:dyDescent="0.15">
      <c r="A436" s="21" t="s">
        <v>468</v>
      </c>
      <c r="B436" s="21">
        <v>1683</v>
      </c>
      <c r="C436" s="22" t="s">
        <v>385</v>
      </c>
      <c r="D436" s="3" t="e">
        <f>VLOOKUP(A436,武将获取途径!$A:$D,4,0)</f>
        <v>#N/A</v>
      </c>
    </row>
    <row r="437" spans="1:7" ht="15" x14ac:dyDescent="0.15">
      <c r="A437" s="21" t="s">
        <v>469</v>
      </c>
      <c r="B437" s="21">
        <v>1681</v>
      </c>
      <c r="C437" s="22" t="s">
        <v>385</v>
      </c>
      <c r="D437" s="3" t="str">
        <f>VLOOKUP(A437,武将获取途径!$A:$D,4,0)</f>
        <v>将星招募</v>
      </c>
    </row>
    <row r="438" spans="1:7" ht="15" x14ac:dyDescent="0.15">
      <c r="A438" s="21" t="s">
        <v>470</v>
      </c>
      <c r="B438" s="21">
        <v>1677</v>
      </c>
      <c r="C438" s="22" t="s">
        <v>385</v>
      </c>
      <c r="D438" s="3" t="e">
        <f>VLOOKUP(A438,武将获取途径!$A:$D,4,0)</f>
        <v>#N/A</v>
      </c>
    </row>
    <row r="439" spans="1:7" ht="15" x14ac:dyDescent="0.15">
      <c r="A439" s="21" t="s">
        <v>471</v>
      </c>
      <c r="B439" s="21">
        <v>1677</v>
      </c>
      <c r="C439" s="22" t="s">
        <v>385</v>
      </c>
      <c r="D439" s="3" t="e">
        <f>VLOOKUP(A439,武将获取途径!$A:$D,4,0)</f>
        <v>#N/A</v>
      </c>
    </row>
    <row r="440" spans="1:7" ht="15" x14ac:dyDescent="0.15">
      <c r="A440" s="21" t="s">
        <v>472</v>
      </c>
      <c r="B440" s="21">
        <v>1674</v>
      </c>
      <c r="C440" s="22" t="s">
        <v>385</v>
      </c>
      <c r="D440" s="3" t="e">
        <f>VLOOKUP(A440,武将获取途径!$A:$D,4,0)</f>
        <v>#N/A</v>
      </c>
    </row>
    <row r="441" spans="1:7" ht="15" x14ac:dyDescent="0.15">
      <c r="A441" s="21" t="s">
        <v>473</v>
      </c>
      <c r="B441" s="21">
        <v>1658</v>
      </c>
      <c r="C441" s="22" t="s">
        <v>385</v>
      </c>
      <c r="D441" s="3" t="e">
        <f>VLOOKUP(A441,武将获取途径!$A:$D,4,0)</f>
        <v>#N/A</v>
      </c>
    </row>
    <row r="442" spans="1:7" ht="15" x14ac:dyDescent="0.15">
      <c r="A442" s="21" t="s">
        <v>474</v>
      </c>
      <c r="B442" s="21">
        <v>1658</v>
      </c>
      <c r="C442" s="22" t="s">
        <v>385</v>
      </c>
      <c r="D442" s="3" t="e">
        <f>VLOOKUP(A442,武将获取途径!$A:$D,4,0)</f>
        <v>#N/A</v>
      </c>
    </row>
    <row r="443" spans="1:7" ht="15" x14ac:dyDescent="0.15">
      <c r="A443" s="21" t="s">
        <v>475</v>
      </c>
      <c r="B443" s="21">
        <v>1656</v>
      </c>
      <c r="C443" s="22" t="s">
        <v>385</v>
      </c>
      <c r="D443" s="3" t="e">
        <f>VLOOKUP(A443,武将获取途径!$A:$D,4,0)</f>
        <v>#N/A</v>
      </c>
    </row>
    <row r="444" spans="1:7" ht="15" x14ac:dyDescent="0.15">
      <c r="A444" s="21" t="s">
        <v>476</v>
      </c>
      <c r="B444" s="21">
        <v>1651</v>
      </c>
      <c r="C444" s="22" t="s">
        <v>385</v>
      </c>
      <c r="D444" s="3" t="e">
        <f>VLOOKUP(A444,武将获取途径!$A:$D,4,0)</f>
        <v>#N/A</v>
      </c>
    </row>
    <row r="445" spans="1:7" ht="15" x14ac:dyDescent="0.15">
      <c r="A445" s="21" t="s">
        <v>477</v>
      </c>
      <c r="B445" s="21">
        <v>1639</v>
      </c>
      <c r="C445" s="22" t="s">
        <v>385</v>
      </c>
      <c r="D445" s="3" t="e">
        <f>VLOOKUP(A445,武将获取途径!$A:$D,4,0)</f>
        <v>#N/A</v>
      </c>
    </row>
    <row r="446" spans="1:7" ht="15" x14ac:dyDescent="0.15">
      <c r="A446" s="21" t="s">
        <v>478</v>
      </c>
      <c r="B446" s="21">
        <v>1607</v>
      </c>
      <c r="C446" s="22" t="s">
        <v>385</v>
      </c>
      <c r="D446" s="3" t="str">
        <f>VLOOKUP(A446,武将获取途径!$A:$D,4,0)</f>
        <v>充值奖励</v>
      </c>
      <c r="G446"/>
    </row>
    <row r="447" spans="1:7" ht="15" x14ac:dyDescent="0.15">
      <c r="A447" s="23" t="s">
        <v>479</v>
      </c>
      <c r="B447" s="23">
        <v>1599</v>
      </c>
      <c r="C447" s="24" t="s">
        <v>480</v>
      </c>
      <c r="D447" s="3" t="e">
        <f>VLOOKUP(A447,武将获取途径!$A:$D,4,0)</f>
        <v>#N/A</v>
      </c>
    </row>
    <row r="448" spans="1:7" ht="15" x14ac:dyDescent="0.15">
      <c r="A448" s="23" t="s">
        <v>481</v>
      </c>
      <c r="B448" s="23">
        <v>1598</v>
      </c>
      <c r="C448" s="24" t="s">
        <v>480</v>
      </c>
      <c r="D448" s="3" t="e">
        <f>VLOOKUP(A448,武将获取途径!$A:$D,4,0)</f>
        <v>#N/A</v>
      </c>
    </row>
    <row r="449" spans="1:7" ht="15" x14ac:dyDescent="0.15">
      <c r="A449" s="23" t="s">
        <v>482</v>
      </c>
      <c r="B449" s="23">
        <v>1596</v>
      </c>
      <c r="C449" s="24" t="s">
        <v>480</v>
      </c>
      <c r="D449" s="3" t="e">
        <f>VLOOKUP(A449,武将获取途径!$A:$D,4,0)</f>
        <v>#N/A</v>
      </c>
    </row>
    <row r="450" spans="1:7" ht="15" x14ac:dyDescent="0.15">
      <c r="A450" s="67" t="s">
        <v>483</v>
      </c>
      <c r="B450" s="23">
        <v>1594</v>
      </c>
      <c r="C450" s="24" t="s">
        <v>480</v>
      </c>
      <c r="D450" s="3" t="e">
        <f>VLOOKUP(A450,武将获取途径!$A:$D,4,0)</f>
        <v>#N/A</v>
      </c>
    </row>
    <row r="451" spans="1:7" ht="15" x14ac:dyDescent="0.15">
      <c r="A451" s="23" t="s">
        <v>484</v>
      </c>
      <c r="B451" s="23">
        <v>1593</v>
      </c>
      <c r="C451" s="24" t="s">
        <v>480</v>
      </c>
      <c r="D451" s="3" t="e">
        <f>VLOOKUP(A451,武将获取途径!$A:$D,4,0)</f>
        <v>#N/A</v>
      </c>
    </row>
    <row r="452" spans="1:7" ht="15" x14ac:dyDescent="0.15">
      <c r="A452" s="23" t="s">
        <v>485</v>
      </c>
      <c r="B452" s="23">
        <v>1592</v>
      </c>
      <c r="C452" s="24" t="s">
        <v>480</v>
      </c>
      <c r="D452" s="3" t="e">
        <f>VLOOKUP(A452,武将获取途径!$A:$D,4,0)</f>
        <v>#N/A</v>
      </c>
    </row>
    <row r="453" spans="1:7" ht="15" x14ac:dyDescent="0.15">
      <c r="A453" s="23" t="s">
        <v>486</v>
      </c>
      <c r="B453" s="23">
        <v>1592</v>
      </c>
      <c r="C453" s="24" t="s">
        <v>480</v>
      </c>
      <c r="D453" s="3" t="str">
        <f>VLOOKUP(A453,武将获取途径!$A:$D,4,0)</f>
        <v>纳贤</v>
      </c>
      <c r="G453"/>
    </row>
    <row r="454" spans="1:7" ht="15" x14ac:dyDescent="0.15">
      <c r="A454" s="23" t="s">
        <v>487</v>
      </c>
      <c r="B454" s="23">
        <v>1589</v>
      </c>
      <c r="C454" s="24" t="s">
        <v>480</v>
      </c>
      <c r="D454" s="3" t="e">
        <f>VLOOKUP(A454,武将获取途径!$A:$D,4,0)</f>
        <v>#N/A</v>
      </c>
    </row>
    <row r="455" spans="1:7" ht="15" x14ac:dyDescent="0.15">
      <c r="A455" s="23" t="s">
        <v>488</v>
      </c>
      <c r="B455" s="23">
        <v>1588</v>
      </c>
      <c r="C455" s="24" t="s">
        <v>480</v>
      </c>
      <c r="D455" s="3" t="e">
        <f>VLOOKUP(A455,武将获取途径!$A:$D,4,0)</f>
        <v>#N/A</v>
      </c>
    </row>
    <row r="456" spans="1:7" ht="15" x14ac:dyDescent="0.15">
      <c r="A456" s="23" t="s">
        <v>489</v>
      </c>
      <c r="B456" s="23">
        <v>1586</v>
      </c>
      <c r="C456" s="24" t="s">
        <v>480</v>
      </c>
      <c r="D456" s="3" t="e">
        <f>VLOOKUP(A456,武将获取途径!$A:$D,4,0)</f>
        <v>#N/A</v>
      </c>
    </row>
    <row r="457" spans="1:7" ht="15" x14ac:dyDescent="0.15">
      <c r="A457" s="23" t="s">
        <v>490</v>
      </c>
      <c r="B457" s="23">
        <v>1586</v>
      </c>
      <c r="C457" s="24" t="s">
        <v>480</v>
      </c>
      <c r="D457" s="3" t="e">
        <f>VLOOKUP(A457,武将获取途径!$A:$D,4,0)</f>
        <v>#N/A</v>
      </c>
    </row>
    <row r="458" spans="1:7" ht="15" x14ac:dyDescent="0.15">
      <c r="A458" s="23" t="s">
        <v>491</v>
      </c>
      <c r="B458" s="23">
        <v>1585</v>
      </c>
      <c r="C458" s="24" t="s">
        <v>480</v>
      </c>
      <c r="D458" s="3" t="e">
        <f>VLOOKUP(A458,武将获取途径!$A:$D,4,0)</f>
        <v>#N/A</v>
      </c>
    </row>
    <row r="459" spans="1:7" ht="15" x14ac:dyDescent="0.15">
      <c r="A459" s="23" t="s">
        <v>492</v>
      </c>
      <c r="B459" s="23">
        <v>1584</v>
      </c>
      <c r="C459" s="24" t="s">
        <v>480</v>
      </c>
      <c r="D459" s="3" t="e">
        <f>VLOOKUP(A459,武将获取途径!$A:$D,4,0)</f>
        <v>#N/A</v>
      </c>
    </row>
    <row r="460" spans="1:7" ht="15" x14ac:dyDescent="0.15">
      <c r="A460" s="23" t="s">
        <v>493</v>
      </c>
      <c r="B460" s="23">
        <v>1583</v>
      </c>
      <c r="C460" s="24" t="s">
        <v>480</v>
      </c>
      <c r="D460" s="3" t="e">
        <f>VLOOKUP(A460,武将获取途径!$A:$D,4,0)</f>
        <v>#N/A</v>
      </c>
    </row>
    <row r="461" spans="1:7" ht="15" x14ac:dyDescent="0.15">
      <c r="A461" s="23" t="s">
        <v>494</v>
      </c>
      <c r="B461" s="23">
        <v>1582</v>
      </c>
      <c r="C461" s="24" t="s">
        <v>480</v>
      </c>
      <c r="D461" s="3" t="e">
        <f>VLOOKUP(A461,武将获取途径!$A:$D,4,0)</f>
        <v>#N/A</v>
      </c>
    </row>
    <row r="462" spans="1:7" ht="15" x14ac:dyDescent="0.15">
      <c r="A462" s="23" t="s">
        <v>495</v>
      </c>
      <c r="B462" s="23">
        <v>1582</v>
      </c>
      <c r="C462" s="24" t="s">
        <v>480</v>
      </c>
      <c r="D462" s="3" t="e">
        <f>VLOOKUP(A462,武将获取途径!$A:$D,4,0)</f>
        <v>#N/A</v>
      </c>
    </row>
    <row r="463" spans="1:7" ht="15" x14ac:dyDescent="0.15">
      <c r="A463" s="23" t="s">
        <v>496</v>
      </c>
      <c r="B463" s="23">
        <v>1581</v>
      </c>
      <c r="C463" s="24" t="s">
        <v>480</v>
      </c>
      <c r="D463" s="3" t="e">
        <f>VLOOKUP(A463,武将获取途径!$A:$D,4,0)</f>
        <v>#N/A</v>
      </c>
    </row>
    <row r="464" spans="1:7" ht="15" x14ac:dyDescent="0.15">
      <c r="A464" s="23" t="s">
        <v>497</v>
      </c>
      <c r="B464" s="23">
        <v>1581</v>
      </c>
      <c r="C464" s="24" t="s">
        <v>480</v>
      </c>
      <c r="D464" s="3" t="str">
        <f>VLOOKUP(A464,武将获取途径!$A:$D,4,0)</f>
        <v>活跃</v>
      </c>
    </row>
    <row r="465" spans="1:7" ht="15" x14ac:dyDescent="0.15">
      <c r="A465" s="23" t="s">
        <v>498</v>
      </c>
      <c r="B465" s="23">
        <v>1579</v>
      </c>
      <c r="C465" s="24" t="s">
        <v>480</v>
      </c>
      <c r="D465" s="3" t="str">
        <f>VLOOKUP(A465,武将获取途径!$A:$D,4,0)</f>
        <v>神将任务</v>
      </c>
    </row>
    <row r="466" spans="1:7" ht="15" x14ac:dyDescent="0.15">
      <c r="A466" s="23" t="s">
        <v>499</v>
      </c>
      <c r="B466" s="23">
        <v>1579</v>
      </c>
      <c r="C466" s="24" t="s">
        <v>480</v>
      </c>
      <c r="D466" s="3" t="e">
        <f>VLOOKUP(A466,武将获取途径!$A:$D,4,0)</f>
        <v>#N/A</v>
      </c>
    </row>
    <row r="467" spans="1:7" ht="15" x14ac:dyDescent="0.15">
      <c r="A467" s="23" t="s">
        <v>500</v>
      </c>
      <c r="B467" s="23">
        <v>1579</v>
      </c>
      <c r="C467" s="24" t="s">
        <v>480</v>
      </c>
      <c r="D467" s="3" t="e">
        <f>VLOOKUP(A467,武将获取途径!$A:$D,4,0)</f>
        <v>#N/A</v>
      </c>
    </row>
    <row r="468" spans="1:7" ht="15" x14ac:dyDescent="0.15">
      <c r="A468" s="23" t="s">
        <v>501</v>
      </c>
      <c r="B468" s="23">
        <v>1578</v>
      </c>
      <c r="C468" s="24" t="s">
        <v>480</v>
      </c>
      <c r="D468" s="3" t="e">
        <f>VLOOKUP(A468,武将获取途径!$A:$D,4,0)</f>
        <v>#N/A</v>
      </c>
    </row>
    <row r="469" spans="1:7" ht="15" x14ac:dyDescent="0.15">
      <c r="A469" s="23" t="s">
        <v>502</v>
      </c>
      <c r="B469" s="23">
        <v>1577</v>
      </c>
      <c r="C469" s="24" t="s">
        <v>480</v>
      </c>
      <c r="D469" s="3" t="str">
        <f>VLOOKUP(A469,武将获取途径!$A:$D,4,0)</f>
        <v>将星招募</v>
      </c>
    </row>
    <row r="470" spans="1:7" ht="15" x14ac:dyDescent="0.15">
      <c r="A470" s="23" t="s">
        <v>503</v>
      </c>
      <c r="B470" s="23">
        <v>1575</v>
      </c>
      <c r="C470" s="24" t="s">
        <v>480</v>
      </c>
      <c r="D470" s="3" t="str">
        <f>VLOOKUP(A470,武将获取途径!$A:$D,4,0)</f>
        <v>累充奖励</v>
      </c>
      <c r="G470"/>
    </row>
    <row r="471" spans="1:7" ht="15" x14ac:dyDescent="0.15">
      <c r="A471" s="23" t="s">
        <v>504</v>
      </c>
      <c r="B471" s="23">
        <v>1573</v>
      </c>
      <c r="C471" s="24" t="s">
        <v>480</v>
      </c>
      <c r="D471" s="3" t="e">
        <f>VLOOKUP(A471,武将获取途径!$A:$D,4,0)</f>
        <v>#N/A</v>
      </c>
    </row>
    <row r="472" spans="1:7" ht="15" x14ac:dyDescent="0.15">
      <c r="A472" s="23" t="s">
        <v>505</v>
      </c>
      <c r="B472" s="23">
        <v>1572</v>
      </c>
      <c r="C472" s="24" t="s">
        <v>480</v>
      </c>
      <c r="D472" s="3" t="str">
        <f>VLOOKUP(A472,武将获取途径!$A:$D,4,0)</f>
        <v>充值奖励</v>
      </c>
      <c r="G472"/>
    </row>
    <row r="473" spans="1:7" ht="15" x14ac:dyDescent="0.15">
      <c r="A473" s="23" t="s">
        <v>506</v>
      </c>
      <c r="B473" s="23">
        <v>1572</v>
      </c>
      <c r="C473" s="24" t="s">
        <v>480</v>
      </c>
      <c r="D473" s="3" t="e">
        <f>VLOOKUP(A473,武将获取途径!$A:$D,4,0)</f>
        <v>#N/A</v>
      </c>
    </row>
    <row r="474" spans="1:7" ht="15" x14ac:dyDescent="0.15">
      <c r="A474" s="23" t="s">
        <v>507</v>
      </c>
      <c r="B474" s="23">
        <v>1570</v>
      </c>
      <c r="C474" s="24" t="s">
        <v>480</v>
      </c>
      <c r="D474" s="3" t="e">
        <f>VLOOKUP(A474,武将获取途径!$A:$D,4,0)</f>
        <v>#N/A</v>
      </c>
    </row>
    <row r="475" spans="1:7" ht="15" x14ac:dyDescent="0.15">
      <c r="A475" s="23" t="s">
        <v>508</v>
      </c>
      <c r="B475" s="23">
        <v>1570</v>
      </c>
      <c r="C475" s="24" t="s">
        <v>480</v>
      </c>
      <c r="D475" s="3" t="e">
        <f>VLOOKUP(A475,武将获取途径!$A:$D,4,0)</f>
        <v>#N/A</v>
      </c>
    </row>
    <row r="476" spans="1:7" ht="15" x14ac:dyDescent="0.15">
      <c r="A476" s="23" t="s">
        <v>509</v>
      </c>
      <c r="B476" s="23">
        <v>1569</v>
      </c>
      <c r="C476" s="24" t="s">
        <v>480</v>
      </c>
      <c r="D476" s="3" t="e">
        <f>VLOOKUP(A476,武将获取途径!$A:$D,4,0)</f>
        <v>#N/A</v>
      </c>
    </row>
    <row r="477" spans="1:7" ht="15" x14ac:dyDescent="0.15">
      <c r="A477" s="23" t="s">
        <v>510</v>
      </c>
      <c r="B477" s="23">
        <v>1569</v>
      </c>
      <c r="C477" s="24" t="s">
        <v>480</v>
      </c>
      <c r="D477" s="3" t="e">
        <f>VLOOKUP(A477,武将获取途径!$A:$D,4,0)</f>
        <v>#N/A</v>
      </c>
    </row>
    <row r="478" spans="1:7" ht="15" x14ac:dyDescent="0.15">
      <c r="A478" s="23" t="s">
        <v>511</v>
      </c>
      <c r="B478" s="23">
        <v>1567</v>
      </c>
      <c r="C478" s="24" t="s">
        <v>480</v>
      </c>
      <c r="D478" s="3" t="e">
        <f>VLOOKUP(A478,武将获取途径!$A:$D,4,0)</f>
        <v>#N/A</v>
      </c>
    </row>
    <row r="479" spans="1:7" ht="15" x14ac:dyDescent="0.15">
      <c r="A479" s="23" t="s">
        <v>512</v>
      </c>
      <c r="B479" s="23">
        <v>1567</v>
      </c>
      <c r="C479" s="24" t="s">
        <v>480</v>
      </c>
      <c r="D479" s="3" t="str">
        <f>VLOOKUP(A479,武将获取途径!$A:$D,4,0)</f>
        <v>充值奖励</v>
      </c>
      <c r="G479"/>
    </row>
    <row r="480" spans="1:7" ht="15" x14ac:dyDescent="0.15">
      <c r="A480" s="23" t="s">
        <v>513</v>
      </c>
      <c r="B480" s="23">
        <v>1564</v>
      </c>
      <c r="C480" s="24" t="s">
        <v>480</v>
      </c>
      <c r="D480" s="3" t="e">
        <f>VLOOKUP(A480,武将获取途径!$A:$D,4,0)</f>
        <v>#N/A</v>
      </c>
    </row>
    <row r="481" spans="1:7" ht="15" x14ac:dyDescent="0.15">
      <c r="A481" s="23" t="s">
        <v>514</v>
      </c>
      <c r="B481" s="23">
        <v>1564</v>
      </c>
      <c r="C481" s="24" t="s">
        <v>480</v>
      </c>
      <c r="D481" s="3" t="e">
        <f>VLOOKUP(A481,武将获取途径!$A:$D,4,0)</f>
        <v>#N/A</v>
      </c>
    </row>
    <row r="482" spans="1:7" ht="15" x14ac:dyDescent="0.15">
      <c r="A482" s="23" t="s">
        <v>515</v>
      </c>
      <c r="B482" s="23">
        <v>1563</v>
      </c>
      <c r="C482" s="24" t="s">
        <v>480</v>
      </c>
      <c r="D482" s="3" t="str">
        <f>VLOOKUP(A482,武将获取途径!$A:$D,4,0)</f>
        <v>活跃</v>
      </c>
    </row>
    <row r="483" spans="1:7" ht="15" x14ac:dyDescent="0.15">
      <c r="A483" s="23" t="s">
        <v>516</v>
      </c>
      <c r="B483" s="23">
        <v>1563</v>
      </c>
      <c r="C483" s="24" t="s">
        <v>480</v>
      </c>
      <c r="D483" s="3" t="e">
        <f>VLOOKUP(A483,武将获取途径!$A:$D,4,0)</f>
        <v>#N/A</v>
      </c>
    </row>
    <row r="484" spans="1:7" ht="15" x14ac:dyDescent="0.15">
      <c r="A484" s="23" t="s">
        <v>517</v>
      </c>
      <c r="B484" s="23">
        <v>1562</v>
      </c>
      <c r="C484" s="24" t="s">
        <v>480</v>
      </c>
      <c r="D484" s="3" t="e">
        <f>VLOOKUP(A484,武将获取途径!$A:$D,4,0)</f>
        <v>#N/A</v>
      </c>
    </row>
    <row r="485" spans="1:7" ht="15" x14ac:dyDescent="0.15">
      <c r="A485" s="23" t="s">
        <v>518</v>
      </c>
      <c r="B485" s="23">
        <v>1561</v>
      </c>
      <c r="C485" s="24" t="s">
        <v>480</v>
      </c>
      <c r="D485" s="3" t="str">
        <f>VLOOKUP(A485,武将获取途径!$A:$D,4,0)</f>
        <v>活跃活动</v>
      </c>
    </row>
    <row r="486" spans="1:7" ht="15" x14ac:dyDescent="0.15">
      <c r="A486" s="23" t="s">
        <v>519</v>
      </c>
      <c r="B486" s="23">
        <v>1560</v>
      </c>
      <c r="C486" s="24" t="s">
        <v>480</v>
      </c>
      <c r="D486" s="3" t="e">
        <f>VLOOKUP(A486,武将获取途径!$A:$D,4,0)</f>
        <v>#N/A</v>
      </c>
    </row>
    <row r="487" spans="1:7" ht="15" x14ac:dyDescent="0.15">
      <c r="A487" s="23" t="s">
        <v>520</v>
      </c>
      <c r="B487" s="23">
        <v>1559</v>
      </c>
      <c r="C487" s="24" t="s">
        <v>480</v>
      </c>
      <c r="D487" s="3" t="e">
        <f>VLOOKUP(A487,武将获取途径!$A:$D,4,0)</f>
        <v>#N/A</v>
      </c>
      <c r="E487" s="3">
        <v>1</v>
      </c>
    </row>
    <row r="488" spans="1:7" ht="15" x14ac:dyDescent="0.15">
      <c r="A488" s="23" t="s">
        <v>521</v>
      </c>
      <c r="B488" s="23">
        <v>1556</v>
      </c>
      <c r="C488" s="24" t="s">
        <v>480</v>
      </c>
      <c r="D488" s="3" t="str">
        <f>VLOOKUP(A488,武将获取途径!$A:$D,4,0)</f>
        <v>新人特惠</v>
      </c>
    </row>
    <row r="489" spans="1:7" ht="15" x14ac:dyDescent="0.15">
      <c r="A489" s="23" t="s">
        <v>522</v>
      </c>
      <c r="B489" s="23">
        <v>1554</v>
      </c>
      <c r="C489" s="24" t="s">
        <v>480</v>
      </c>
      <c r="D489" s="3" t="e">
        <f>VLOOKUP(A489,武将获取途径!$A:$D,4,0)</f>
        <v>#N/A</v>
      </c>
    </row>
    <row r="490" spans="1:7" ht="15" x14ac:dyDescent="0.15">
      <c r="A490" s="23" t="s">
        <v>523</v>
      </c>
      <c r="B490" s="23">
        <v>1553</v>
      </c>
      <c r="C490" s="24" t="s">
        <v>480</v>
      </c>
      <c r="D490" s="3" t="str">
        <f>VLOOKUP(A490,武将获取途径!$A:$D,4,0)</f>
        <v>连连看</v>
      </c>
      <c r="G490"/>
    </row>
    <row r="491" spans="1:7" ht="15" x14ac:dyDescent="0.15">
      <c r="A491" s="23" t="s">
        <v>524</v>
      </c>
      <c r="B491" s="23">
        <v>1552</v>
      </c>
      <c r="C491" s="24" t="s">
        <v>480</v>
      </c>
      <c r="D491" s="3" t="e">
        <f>VLOOKUP(A491,武将获取途径!$A:$D,4,0)</f>
        <v>#N/A</v>
      </c>
    </row>
    <row r="492" spans="1:7" ht="15" x14ac:dyDescent="0.15">
      <c r="A492" s="23" t="s">
        <v>525</v>
      </c>
      <c r="B492" s="23">
        <v>1552</v>
      </c>
      <c r="C492" s="24" t="s">
        <v>480</v>
      </c>
      <c r="D492" s="3" t="e">
        <f>VLOOKUP(A492,武将获取途径!$A:$D,4,0)</f>
        <v>#N/A</v>
      </c>
    </row>
    <row r="493" spans="1:7" ht="15" x14ac:dyDescent="0.15">
      <c r="A493" s="23" t="s">
        <v>526</v>
      </c>
      <c r="B493" s="23">
        <v>1550</v>
      </c>
      <c r="C493" s="24" t="s">
        <v>480</v>
      </c>
      <c r="D493" s="3" t="e">
        <f>VLOOKUP(A493,武将获取途径!$A:$D,4,0)</f>
        <v>#N/A</v>
      </c>
    </row>
    <row r="494" spans="1:7" ht="15" x14ac:dyDescent="0.15">
      <c r="A494" s="23" t="s">
        <v>527</v>
      </c>
      <c r="B494" s="23">
        <v>1550</v>
      </c>
      <c r="C494" s="24" t="s">
        <v>480</v>
      </c>
      <c r="D494" s="3" t="e">
        <f>VLOOKUP(A494,武将获取途径!$A:$D,4,0)</f>
        <v>#N/A</v>
      </c>
    </row>
    <row r="495" spans="1:7" ht="15" x14ac:dyDescent="0.15">
      <c r="A495" s="23" t="s">
        <v>528</v>
      </c>
      <c r="B495" s="23">
        <v>1549</v>
      </c>
      <c r="C495" s="24" t="s">
        <v>480</v>
      </c>
      <c r="D495" s="3" t="e">
        <f>VLOOKUP(A495,武将获取途径!$A:$D,4,0)</f>
        <v>#N/A</v>
      </c>
    </row>
    <row r="496" spans="1:7" ht="15" x14ac:dyDescent="0.15">
      <c r="A496" s="23" t="s">
        <v>529</v>
      </c>
      <c r="B496" s="23">
        <v>1549</v>
      </c>
      <c r="C496" s="24" t="s">
        <v>480</v>
      </c>
      <c r="D496" s="3" t="e">
        <f>VLOOKUP(A496,武将获取途径!$A:$D,4,0)</f>
        <v>#N/A</v>
      </c>
    </row>
    <row r="497" spans="1:4" ht="15" x14ac:dyDescent="0.15">
      <c r="A497" s="23" t="s">
        <v>530</v>
      </c>
      <c r="B497" s="23">
        <v>1549</v>
      </c>
      <c r="C497" s="24" t="s">
        <v>480</v>
      </c>
      <c r="D497" s="3" t="e">
        <f>VLOOKUP(A497,武将获取途径!$A:$D,4,0)</f>
        <v>#N/A</v>
      </c>
    </row>
    <row r="498" spans="1:4" ht="15" x14ac:dyDescent="0.15">
      <c r="A498" s="23" t="s">
        <v>531</v>
      </c>
      <c r="B498" s="23">
        <v>1545</v>
      </c>
      <c r="C498" s="24" t="s">
        <v>480</v>
      </c>
      <c r="D498" s="3" t="e">
        <f>VLOOKUP(A498,武将获取途径!$A:$D,4,0)</f>
        <v>#N/A</v>
      </c>
    </row>
    <row r="499" spans="1:4" ht="15" x14ac:dyDescent="0.15">
      <c r="A499" s="23" t="s">
        <v>532</v>
      </c>
      <c r="B499" s="23">
        <v>1545</v>
      </c>
      <c r="C499" s="24" t="s">
        <v>480</v>
      </c>
      <c r="D499" s="3" t="e">
        <f>VLOOKUP(A499,武将获取途径!$A:$D,4,0)</f>
        <v>#N/A</v>
      </c>
    </row>
    <row r="500" spans="1:4" ht="15" x14ac:dyDescent="0.15">
      <c r="A500" s="23" t="s">
        <v>533</v>
      </c>
      <c r="B500" s="23">
        <v>1542</v>
      </c>
      <c r="C500" s="24" t="s">
        <v>480</v>
      </c>
      <c r="D500" s="3" t="e">
        <f>VLOOKUP(A500,武将获取途径!$A:$D,4,0)</f>
        <v>#N/A</v>
      </c>
    </row>
    <row r="501" spans="1:4" ht="15" x14ac:dyDescent="0.15">
      <c r="A501" s="23" t="s">
        <v>534</v>
      </c>
      <c r="B501" s="23">
        <v>1541</v>
      </c>
      <c r="C501" s="24" t="s">
        <v>480</v>
      </c>
      <c r="D501" s="3" t="e">
        <f>VLOOKUP(A501,武将获取途径!$A:$D,4,0)</f>
        <v>#N/A</v>
      </c>
    </row>
    <row r="502" spans="1:4" ht="15" x14ac:dyDescent="0.15">
      <c r="A502" s="23" t="s">
        <v>535</v>
      </c>
      <c r="B502" s="23">
        <v>1541</v>
      </c>
      <c r="C502" s="24" t="s">
        <v>480</v>
      </c>
      <c r="D502" s="3" t="e">
        <f>VLOOKUP(A502,武将获取途径!$A:$D,4,0)</f>
        <v>#N/A</v>
      </c>
    </row>
    <row r="503" spans="1:4" ht="15" x14ac:dyDescent="0.15">
      <c r="A503" s="23" t="s">
        <v>536</v>
      </c>
      <c r="B503" s="23">
        <v>1541</v>
      </c>
      <c r="C503" s="24" t="s">
        <v>480</v>
      </c>
      <c r="D503" s="3" t="e">
        <f>VLOOKUP(A503,武将获取途径!$A:$D,4,0)</f>
        <v>#N/A</v>
      </c>
    </row>
    <row r="504" spans="1:4" ht="15" x14ac:dyDescent="0.15">
      <c r="A504" s="23" t="s">
        <v>537</v>
      </c>
      <c r="B504" s="23">
        <v>1541</v>
      </c>
      <c r="C504" s="24" t="s">
        <v>480</v>
      </c>
      <c r="D504" s="3" t="str">
        <f>VLOOKUP(A504,武将获取途径!$A:$D,4,0)</f>
        <v>活跃</v>
      </c>
    </row>
    <row r="505" spans="1:4" ht="15" x14ac:dyDescent="0.15">
      <c r="A505" s="23" t="s">
        <v>538</v>
      </c>
      <c r="B505" s="23">
        <v>1537</v>
      </c>
      <c r="C505" s="24" t="s">
        <v>480</v>
      </c>
      <c r="D505" s="3" t="e">
        <f>VLOOKUP(A505,武将获取途径!$A:$D,4,0)</f>
        <v>#N/A</v>
      </c>
    </row>
    <row r="506" spans="1:4" ht="15" x14ac:dyDescent="0.15">
      <c r="A506" s="23" t="s">
        <v>539</v>
      </c>
      <c r="B506" s="23">
        <v>1535</v>
      </c>
      <c r="C506" s="24" t="s">
        <v>480</v>
      </c>
      <c r="D506" s="3" t="e">
        <f>VLOOKUP(A506,武将获取途径!$A:$D,4,0)</f>
        <v>#N/A</v>
      </c>
    </row>
    <row r="507" spans="1:4" ht="15" x14ac:dyDescent="0.15">
      <c r="A507" s="23" t="s">
        <v>540</v>
      </c>
      <c r="B507" s="23">
        <v>1535</v>
      </c>
      <c r="C507" s="24" t="s">
        <v>480</v>
      </c>
      <c r="D507" s="3" t="e">
        <f>VLOOKUP(A507,武将获取途径!$A:$D,4,0)</f>
        <v>#N/A</v>
      </c>
    </row>
    <row r="508" spans="1:4" ht="15" x14ac:dyDescent="0.15">
      <c r="A508" s="23" t="s">
        <v>541</v>
      </c>
      <c r="B508" s="23">
        <v>1534</v>
      </c>
      <c r="C508" s="24" t="s">
        <v>480</v>
      </c>
      <c r="D508" s="3" t="e">
        <f>VLOOKUP(A508,武将获取途径!$A:$D,4,0)</f>
        <v>#N/A</v>
      </c>
    </row>
    <row r="509" spans="1:4" ht="15" x14ac:dyDescent="0.15">
      <c r="A509" s="23" t="s">
        <v>542</v>
      </c>
      <c r="B509" s="23">
        <v>1533</v>
      </c>
      <c r="C509" s="24" t="s">
        <v>480</v>
      </c>
      <c r="D509" s="3" t="e">
        <f>VLOOKUP(A509,武将获取途径!$A:$D,4,0)</f>
        <v>#N/A</v>
      </c>
    </row>
    <row r="510" spans="1:4" ht="15" x14ac:dyDescent="0.15">
      <c r="A510" s="23" t="s">
        <v>543</v>
      </c>
      <c r="B510" s="23">
        <v>1532</v>
      </c>
      <c r="C510" s="24" t="s">
        <v>480</v>
      </c>
      <c r="D510" s="3" t="e">
        <f>VLOOKUP(A510,武将获取途径!$A:$D,4,0)</f>
        <v>#N/A</v>
      </c>
    </row>
    <row r="511" spans="1:4" ht="15" x14ac:dyDescent="0.15">
      <c r="A511" s="67" t="s">
        <v>544</v>
      </c>
      <c r="B511" s="23">
        <v>1531</v>
      </c>
      <c r="C511" s="24" t="s">
        <v>480</v>
      </c>
      <c r="D511" s="3" t="e">
        <f>VLOOKUP(A511,武将获取途径!$A:$D,4,0)</f>
        <v>#N/A</v>
      </c>
    </row>
    <row r="512" spans="1:4" ht="15" x14ac:dyDescent="0.15">
      <c r="A512" s="23" t="s">
        <v>545</v>
      </c>
      <c r="B512" s="23">
        <v>1529</v>
      </c>
      <c r="C512" s="24" t="s">
        <v>480</v>
      </c>
      <c r="D512" s="3" t="e">
        <f>VLOOKUP(A512,武将获取途径!$A:$D,4,0)</f>
        <v>#N/A</v>
      </c>
    </row>
    <row r="513" spans="1:7" ht="15" x14ac:dyDescent="0.15">
      <c r="A513" s="23" t="s">
        <v>546</v>
      </c>
      <c r="B513" s="23">
        <v>1528</v>
      </c>
      <c r="C513" s="24" t="s">
        <v>480</v>
      </c>
      <c r="D513" s="3" t="e">
        <f>VLOOKUP(A513,武将获取途径!$A:$D,4,0)</f>
        <v>#N/A</v>
      </c>
    </row>
    <row r="514" spans="1:7" ht="15" x14ac:dyDescent="0.15">
      <c r="A514" s="23" t="s">
        <v>547</v>
      </c>
      <c r="B514" s="23">
        <v>1527</v>
      </c>
      <c r="C514" s="24" t="s">
        <v>480</v>
      </c>
      <c r="D514" s="3" t="e">
        <f>VLOOKUP(A514,武将获取途径!$A:$D,4,0)</f>
        <v>#N/A</v>
      </c>
    </row>
    <row r="515" spans="1:7" ht="15" x14ac:dyDescent="0.15">
      <c r="A515" s="23" t="s">
        <v>548</v>
      </c>
      <c r="B515" s="23">
        <v>1526</v>
      </c>
      <c r="C515" s="24" t="s">
        <v>480</v>
      </c>
      <c r="D515" s="3" t="e">
        <f>VLOOKUP(A515,武将获取途径!$A:$D,4,0)</f>
        <v>#N/A</v>
      </c>
    </row>
    <row r="516" spans="1:7" ht="15" x14ac:dyDescent="0.15">
      <c r="A516" s="23" t="s">
        <v>549</v>
      </c>
      <c r="B516" s="23">
        <v>1525</v>
      </c>
      <c r="C516" s="24" t="s">
        <v>480</v>
      </c>
      <c r="D516" s="3" t="e">
        <f>VLOOKUP(A516,武将获取途径!$A:$D,4,0)</f>
        <v>#N/A</v>
      </c>
    </row>
    <row r="517" spans="1:7" ht="15" x14ac:dyDescent="0.15">
      <c r="A517" s="23" t="s">
        <v>550</v>
      </c>
      <c r="B517" s="23">
        <v>1523</v>
      </c>
      <c r="C517" s="24" t="s">
        <v>480</v>
      </c>
      <c r="D517" s="3" t="e">
        <f>VLOOKUP(A517,武将获取途径!$A:$D,4,0)</f>
        <v>#N/A</v>
      </c>
    </row>
    <row r="518" spans="1:7" ht="15" x14ac:dyDescent="0.15">
      <c r="A518" s="23" t="s">
        <v>551</v>
      </c>
      <c r="B518" s="23">
        <v>1519</v>
      </c>
      <c r="C518" s="24" t="s">
        <v>480</v>
      </c>
      <c r="D518" s="3" t="str">
        <f>VLOOKUP(A518,武将获取途径!$A:$D,4,0)</f>
        <v>新人特惠</v>
      </c>
      <c r="E518" s="3">
        <v>1</v>
      </c>
    </row>
    <row r="519" spans="1:7" ht="15" x14ac:dyDescent="0.15">
      <c r="A519" s="23" t="s">
        <v>552</v>
      </c>
      <c r="B519" s="23">
        <v>1518</v>
      </c>
      <c r="C519" s="24" t="s">
        <v>480</v>
      </c>
      <c r="D519" s="3" t="e">
        <f>VLOOKUP(A519,武将获取途径!$A:$D,4,0)</f>
        <v>#N/A</v>
      </c>
    </row>
    <row r="520" spans="1:7" ht="15" x14ac:dyDescent="0.15">
      <c r="A520" s="23" t="s">
        <v>553</v>
      </c>
      <c r="B520" s="23">
        <v>1518</v>
      </c>
      <c r="C520" s="24" t="s">
        <v>480</v>
      </c>
      <c r="D520" s="3" t="e">
        <f>VLOOKUP(A520,武将获取途径!$A:$D,4,0)</f>
        <v>#N/A</v>
      </c>
    </row>
    <row r="521" spans="1:7" ht="15" x14ac:dyDescent="0.15">
      <c r="A521" s="23" t="s">
        <v>554</v>
      </c>
      <c r="B521" s="23">
        <v>1516</v>
      </c>
      <c r="C521" s="24" t="s">
        <v>480</v>
      </c>
      <c r="D521" s="3" t="str">
        <f>VLOOKUP(A521,武将获取途径!$A:$D,4,0)</f>
        <v>充值奖励</v>
      </c>
      <c r="G521"/>
    </row>
    <row r="522" spans="1:7" ht="15" x14ac:dyDescent="0.15">
      <c r="A522" s="23" t="s">
        <v>555</v>
      </c>
      <c r="B522" s="23">
        <v>1516</v>
      </c>
      <c r="C522" s="24" t="s">
        <v>480</v>
      </c>
      <c r="D522" s="3" t="e">
        <f>VLOOKUP(A522,武将获取途径!$A:$D,4,0)</f>
        <v>#N/A</v>
      </c>
    </row>
    <row r="523" spans="1:7" ht="15" x14ac:dyDescent="0.15">
      <c r="A523" s="23" t="s">
        <v>556</v>
      </c>
      <c r="B523" s="23">
        <v>1515</v>
      </c>
      <c r="C523" s="24" t="s">
        <v>480</v>
      </c>
      <c r="D523" s="3" t="e">
        <f>VLOOKUP(A523,武将获取途径!$A:$D,4,0)</f>
        <v>#N/A</v>
      </c>
    </row>
    <row r="524" spans="1:7" ht="15" x14ac:dyDescent="0.15">
      <c r="A524" s="23" t="s">
        <v>557</v>
      </c>
      <c r="B524" s="23">
        <v>1515</v>
      </c>
      <c r="C524" s="24" t="s">
        <v>480</v>
      </c>
      <c r="D524" s="3" t="e">
        <f>VLOOKUP(A524,武将获取途径!$A:$D,4,0)</f>
        <v>#N/A</v>
      </c>
    </row>
    <row r="525" spans="1:7" ht="15" x14ac:dyDescent="0.15">
      <c r="A525" s="23" t="s">
        <v>558</v>
      </c>
      <c r="B525" s="23">
        <v>1515</v>
      </c>
      <c r="C525" s="24" t="s">
        <v>480</v>
      </c>
      <c r="D525" s="3" t="e">
        <f>VLOOKUP(A525,武将获取途径!$A:$D,4,0)</f>
        <v>#N/A</v>
      </c>
    </row>
    <row r="526" spans="1:7" ht="15" x14ac:dyDescent="0.15">
      <c r="A526" s="23" t="s">
        <v>559</v>
      </c>
      <c r="B526" s="23">
        <v>1515</v>
      </c>
      <c r="C526" s="24" t="s">
        <v>480</v>
      </c>
      <c r="D526" s="3" t="e">
        <f>VLOOKUP(A526,武将获取途径!$A:$D,4,0)</f>
        <v>#N/A</v>
      </c>
    </row>
    <row r="527" spans="1:7" ht="15" x14ac:dyDescent="0.15">
      <c r="A527" s="23" t="s">
        <v>560</v>
      </c>
      <c r="B527" s="23">
        <v>1505</v>
      </c>
      <c r="C527" s="24" t="s">
        <v>480</v>
      </c>
      <c r="D527" s="3" t="str">
        <f>VLOOKUP(A527,武将获取途径!$A:$D,4,0)</f>
        <v>官阶</v>
      </c>
      <c r="G527"/>
    </row>
    <row r="528" spans="1:7" ht="15" x14ac:dyDescent="0.15">
      <c r="A528" s="23" t="s">
        <v>561</v>
      </c>
      <c r="B528" s="23">
        <v>1500</v>
      </c>
      <c r="C528" s="24" t="s">
        <v>480</v>
      </c>
      <c r="D528" s="3" t="e">
        <f>VLOOKUP(A528,武将获取途径!$A:$D,4,0)</f>
        <v>#N/A</v>
      </c>
    </row>
    <row r="529" spans="1:7" ht="15" x14ac:dyDescent="0.15">
      <c r="A529" s="23" t="s">
        <v>562</v>
      </c>
      <c r="B529" s="23">
        <v>1500</v>
      </c>
      <c r="C529" s="24" t="s">
        <v>480</v>
      </c>
      <c r="D529" s="3" t="str">
        <f>VLOOKUP(A529,武将获取途径!$A:$D,4,0)</f>
        <v>充值奖励</v>
      </c>
      <c r="G529"/>
    </row>
    <row r="530" spans="1:7" ht="15" x14ac:dyDescent="0.15">
      <c r="A530" s="23" t="s">
        <v>563</v>
      </c>
      <c r="B530" s="23">
        <v>1498</v>
      </c>
      <c r="C530" s="24" t="s">
        <v>480</v>
      </c>
      <c r="D530" s="3" t="e">
        <f>VLOOKUP(A530,武将获取途径!$A:$D,4,0)</f>
        <v>#N/A</v>
      </c>
    </row>
    <row r="531" spans="1:7" ht="15" x14ac:dyDescent="0.15">
      <c r="A531" s="23" t="s">
        <v>564</v>
      </c>
      <c r="B531" s="23">
        <v>1498</v>
      </c>
      <c r="C531" s="24" t="s">
        <v>480</v>
      </c>
      <c r="D531" s="3" t="e">
        <f>VLOOKUP(A531,武将获取途径!$A:$D,4,0)</f>
        <v>#N/A</v>
      </c>
    </row>
    <row r="532" spans="1:7" ht="15" x14ac:dyDescent="0.15">
      <c r="A532" s="23" t="s">
        <v>565</v>
      </c>
      <c r="B532" s="23">
        <v>1497</v>
      </c>
      <c r="C532" s="24" t="s">
        <v>480</v>
      </c>
      <c r="D532" s="3" t="e">
        <f>VLOOKUP(A532,武将获取途径!$A:$D,4,0)</f>
        <v>#N/A</v>
      </c>
    </row>
    <row r="533" spans="1:7" ht="15" x14ac:dyDescent="0.15">
      <c r="A533" s="23" t="s">
        <v>566</v>
      </c>
      <c r="B533" s="23">
        <v>1494</v>
      </c>
      <c r="C533" s="24" t="s">
        <v>480</v>
      </c>
      <c r="D533" s="3" t="e">
        <f>VLOOKUP(A533,武将获取途径!$A:$D,4,0)</f>
        <v>#N/A</v>
      </c>
    </row>
    <row r="534" spans="1:7" ht="15" x14ac:dyDescent="0.15">
      <c r="A534" s="23" t="s">
        <v>567</v>
      </c>
      <c r="B534" s="23">
        <v>1492</v>
      </c>
      <c r="C534" s="24" t="s">
        <v>480</v>
      </c>
      <c r="D534" s="3" t="e">
        <f>VLOOKUP(A534,武将获取途径!$A:$D,4,0)</f>
        <v>#N/A</v>
      </c>
      <c r="E534" s="3">
        <v>1</v>
      </c>
    </row>
    <row r="535" spans="1:7" ht="15" x14ac:dyDescent="0.15">
      <c r="A535" s="23" t="s">
        <v>568</v>
      </c>
      <c r="B535" s="23">
        <v>1492</v>
      </c>
      <c r="C535" s="24" t="s">
        <v>480</v>
      </c>
      <c r="D535" s="3" t="e">
        <f>VLOOKUP(A535,武将获取途径!$A:$D,4,0)</f>
        <v>#N/A</v>
      </c>
    </row>
    <row r="536" spans="1:7" ht="15" x14ac:dyDescent="0.15">
      <c r="A536" s="23" t="s">
        <v>569</v>
      </c>
      <c r="B536" s="23">
        <v>1491</v>
      </c>
      <c r="C536" s="24" t="s">
        <v>480</v>
      </c>
      <c r="D536" s="3" t="e">
        <f>VLOOKUP(A536,武将获取途径!$A:$D,4,0)</f>
        <v>#N/A</v>
      </c>
    </row>
    <row r="537" spans="1:7" ht="15" x14ac:dyDescent="0.15">
      <c r="A537" s="23" t="s">
        <v>570</v>
      </c>
      <c r="B537" s="23">
        <v>1491</v>
      </c>
      <c r="C537" s="24" t="s">
        <v>480</v>
      </c>
      <c r="D537" s="3" t="e">
        <f>VLOOKUP(A537,武将获取途径!$A:$D,4,0)</f>
        <v>#N/A</v>
      </c>
    </row>
    <row r="538" spans="1:7" ht="15" x14ac:dyDescent="0.15">
      <c r="A538" s="23" t="s">
        <v>571</v>
      </c>
      <c r="B538" s="23">
        <v>1491</v>
      </c>
      <c r="C538" s="24" t="s">
        <v>480</v>
      </c>
      <c r="D538" s="3" t="e">
        <f>VLOOKUP(A538,武将获取途径!$A:$D,4,0)</f>
        <v>#N/A</v>
      </c>
    </row>
    <row r="539" spans="1:7" ht="15" x14ac:dyDescent="0.15">
      <c r="A539" s="23" t="s">
        <v>572</v>
      </c>
      <c r="B539" s="23">
        <v>1491</v>
      </c>
      <c r="C539" s="24" t="s">
        <v>480</v>
      </c>
      <c r="D539" s="3" t="e">
        <f>VLOOKUP(A539,武将获取途径!$A:$D,4,0)</f>
        <v>#N/A</v>
      </c>
    </row>
    <row r="540" spans="1:7" ht="15" x14ac:dyDescent="0.15">
      <c r="A540" s="23" t="s">
        <v>573</v>
      </c>
      <c r="B540" s="23">
        <v>1490</v>
      </c>
      <c r="C540" s="24" t="s">
        <v>480</v>
      </c>
      <c r="D540" s="3" t="e">
        <f>VLOOKUP(A540,武将获取途径!$A:$D,4,0)</f>
        <v>#N/A</v>
      </c>
    </row>
    <row r="541" spans="1:7" ht="15" x14ac:dyDescent="0.15">
      <c r="A541" s="23" t="s">
        <v>574</v>
      </c>
      <c r="B541" s="23">
        <v>1488</v>
      </c>
      <c r="C541" s="24" t="s">
        <v>480</v>
      </c>
      <c r="D541" s="3" t="e">
        <f>VLOOKUP(A541,武将获取途径!$A:$D,4,0)</f>
        <v>#N/A</v>
      </c>
    </row>
    <row r="542" spans="1:7" ht="15" x14ac:dyDescent="0.15">
      <c r="A542" s="23" t="s">
        <v>575</v>
      </c>
      <c r="B542" s="23">
        <v>1487</v>
      </c>
      <c r="C542" s="24" t="s">
        <v>480</v>
      </c>
      <c r="D542" s="3" t="e">
        <f>VLOOKUP(A542,武将获取途径!$A:$D,4,0)</f>
        <v>#N/A</v>
      </c>
    </row>
    <row r="543" spans="1:7" ht="15" x14ac:dyDescent="0.15">
      <c r="A543" s="23" t="s">
        <v>576</v>
      </c>
      <c r="B543" s="23">
        <v>1481</v>
      </c>
      <c r="C543" s="24" t="s">
        <v>480</v>
      </c>
      <c r="D543" s="3" t="e">
        <f>VLOOKUP(A543,武将获取途径!$A:$D,4,0)</f>
        <v>#N/A</v>
      </c>
    </row>
    <row r="544" spans="1:7" ht="15" x14ac:dyDescent="0.15">
      <c r="A544" s="23" t="s">
        <v>577</v>
      </c>
      <c r="B544" s="23">
        <v>1481</v>
      </c>
      <c r="C544" s="24" t="s">
        <v>480</v>
      </c>
      <c r="D544" s="3" t="e">
        <f>VLOOKUP(A544,武将获取途径!$A:$D,4,0)</f>
        <v>#N/A</v>
      </c>
    </row>
    <row r="545" spans="1:7" ht="15" x14ac:dyDescent="0.15">
      <c r="A545" s="23" t="s">
        <v>578</v>
      </c>
      <c r="B545" s="23">
        <v>1480</v>
      </c>
      <c r="C545" s="24" t="s">
        <v>480</v>
      </c>
      <c r="D545" s="3" t="e">
        <f>VLOOKUP(A545,武将获取途径!$A:$D,4,0)</f>
        <v>#N/A</v>
      </c>
    </row>
    <row r="546" spans="1:7" ht="15" x14ac:dyDescent="0.15">
      <c r="A546" s="23" t="s">
        <v>579</v>
      </c>
      <c r="B546" s="23">
        <v>1478</v>
      </c>
      <c r="C546" s="24" t="s">
        <v>480</v>
      </c>
      <c r="D546" s="3" t="e">
        <f>VLOOKUP(A546,武将获取途径!$A:$D,4,0)</f>
        <v>#N/A</v>
      </c>
    </row>
    <row r="547" spans="1:7" ht="15" x14ac:dyDescent="0.15">
      <c r="A547" s="23" t="s">
        <v>580</v>
      </c>
      <c r="B547" s="23">
        <v>1476</v>
      </c>
      <c r="C547" s="24" t="s">
        <v>480</v>
      </c>
      <c r="D547" s="3" t="e">
        <f>VLOOKUP(A547,武将获取途径!$A:$D,4,0)</f>
        <v>#N/A</v>
      </c>
    </row>
    <row r="548" spans="1:7" ht="15" x14ac:dyDescent="0.15">
      <c r="A548" s="23" t="s">
        <v>581</v>
      </c>
      <c r="B548" s="23">
        <v>1473</v>
      </c>
      <c r="C548" s="24" t="s">
        <v>480</v>
      </c>
      <c r="D548" s="3" t="e">
        <f>VLOOKUP(A548,武将获取途径!$A:$D,4,0)</f>
        <v>#N/A</v>
      </c>
    </row>
    <row r="549" spans="1:7" ht="15" x14ac:dyDescent="0.15">
      <c r="A549" s="23" t="s">
        <v>582</v>
      </c>
      <c r="B549" s="23">
        <v>1471</v>
      </c>
      <c r="C549" s="24" t="s">
        <v>480</v>
      </c>
      <c r="D549" s="3" t="e">
        <f>VLOOKUP(A549,武将获取途径!$A:$D,4,0)</f>
        <v>#N/A</v>
      </c>
    </row>
    <row r="550" spans="1:7" ht="15" x14ac:dyDescent="0.15">
      <c r="A550" s="23" t="s">
        <v>583</v>
      </c>
      <c r="B550" s="23">
        <v>1469</v>
      </c>
      <c r="C550" s="24" t="s">
        <v>480</v>
      </c>
      <c r="D550" s="3" t="e">
        <f>VLOOKUP(A550,武将获取途径!$A:$D,4,0)</f>
        <v>#N/A</v>
      </c>
    </row>
    <row r="551" spans="1:7" ht="15" x14ac:dyDescent="0.15">
      <c r="A551" s="23" t="s">
        <v>584</v>
      </c>
      <c r="B551" s="23">
        <v>1466</v>
      </c>
      <c r="C551" s="24" t="s">
        <v>480</v>
      </c>
      <c r="D551" s="3" t="str">
        <f>VLOOKUP(A551,武将获取途径!$A:$D,4,0)</f>
        <v>移动奖励</v>
      </c>
    </row>
    <row r="552" spans="1:7" ht="15" x14ac:dyDescent="0.15">
      <c r="A552" s="23" t="s">
        <v>585</v>
      </c>
      <c r="B552" s="23">
        <v>1459</v>
      </c>
      <c r="C552" s="24" t="s">
        <v>480</v>
      </c>
      <c r="D552" s="3" t="e">
        <f>VLOOKUP(A552,武将获取途径!$A:$D,4,0)</f>
        <v>#N/A</v>
      </c>
    </row>
    <row r="553" spans="1:7" ht="15" x14ac:dyDescent="0.15">
      <c r="A553" s="23" t="s">
        <v>586</v>
      </c>
      <c r="B553" s="23">
        <v>1458</v>
      </c>
      <c r="C553" s="24" t="s">
        <v>480</v>
      </c>
      <c r="D553" s="3" t="e">
        <f>VLOOKUP(A553,武将获取途径!$A:$D,4,0)</f>
        <v>#N/A</v>
      </c>
    </row>
    <row r="554" spans="1:7" ht="15" x14ac:dyDescent="0.15">
      <c r="A554" s="23" t="s">
        <v>587</v>
      </c>
      <c r="B554" s="23">
        <v>1452</v>
      </c>
      <c r="C554" s="24" t="s">
        <v>480</v>
      </c>
      <c r="D554" s="3" t="e">
        <f>VLOOKUP(A554,武将获取途径!$A:$D,4,0)</f>
        <v>#N/A</v>
      </c>
    </row>
    <row r="555" spans="1:7" ht="15" x14ac:dyDescent="0.15">
      <c r="A555" s="23" t="s">
        <v>588</v>
      </c>
      <c r="B555" s="23">
        <v>1450</v>
      </c>
      <c r="C555" s="24" t="s">
        <v>480</v>
      </c>
      <c r="D555" s="3" t="str">
        <f>VLOOKUP(A555,武将获取途径!$A:$D,4,0)</f>
        <v>神将任务</v>
      </c>
    </row>
    <row r="556" spans="1:7" ht="15" x14ac:dyDescent="0.15">
      <c r="A556" s="23" t="s">
        <v>589</v>
      </c>
      <c r="B556" s="23">
        <v>1450</v>
      </c>
      <c r="C556" s="24" t="s">
        <v>480</v>
      </c>
      <c r="D556" s="3" t="e">
        <f>VLOOKUP(A556,武将获取途径!$A:$D,4,0)</f>
        <v>#N/A</v>
      </c>
    </row>
    <row r="557" spans="1:7" ht="15" x14ac:dyDescent="0.15">
      <c r="A557" s="23" t="s">
        <v>590</v>
      </c>
      <c r="B557" s="23">
        <v>1447</v>
      </c>
      <c r="C557" s="24" t="s">
        <v>480</v>
      </c>
      <c r="D557" s="3" t="e">
        <f>VLOOKUP(A557,武将获取途径!$A:$D,4,0)</f>
        <v>#N/A</v>
      </c>
    </row>
    <row r="558" spans="1:7" ht="15" x14ac:dyDescent="0.15">
      <c r="A558" s="23" t="s">
        <v>591</v>
      </c>
      <c r="B558" s="23">
        <v>1446</v>
      </c>
      <c r="C558" s="24" t="s">
        <v>480</v>
      </c>
      <c r="D558" s="3" t="str">
        <f>VLOOKUP(A558,武将获取途径!$A:$D,4,0)</f>
        <v>武将收集</v>
      </c>
      <c r="G558"/>
    </row>
    <row r="559" spans="1:7" ht="15" x14ac:dyDescent="0.15">
      <c r="A559" s="23" t="s">
        <v>592</v>
      </c>
      <c r="B559" s="23">
        <v>1442</v>
      </c>
      <c r="C559" s="24" t="s">
        <v>480</v>
      </c>
      <c r="D559" s="3" t="e">
        <f>VLOOKUP(A559,武将获取途径!$A:$D,4,0)</f>
        <v>#N/A</v>
      </c>
    </row>
    <row r="560" spans="1:7" ht="15" x14ac:dyDescent="0.15">
      <c r="A560" s="23" t="s">
        <v>593</v>
      </c>
      <c r="B560" s="23">
        <v>1441</v>
      </c>
      <c r="C560" s="24" t="s">
        <v>480</v>
      </c>
      <c r="D560" s="3" t="e">
        <f>VLOOKUP(A560,武将获取途径!$A:$D,4,0)</f>
        <v>#N/A</v>
      </c>
    </row>
    <row r="561" spans="1:7" ht="15" x14ac:dyDescent="0.15">
      <c r="A561" s="23" t="s">
        <v>594</v>
      </c>
      <c r="B561" s="23">
        <v>1439</v>
      </c>
      <c r="C561" s="24" t="s">
        <v>480</v>
      </c>
      <c r="D561" s="3" t="e">
        <f>VLOOKUP(A561,武将获取途径!$A:$D,4,0)</f>
        <v>#N/A</v>
      </c>
    </row>
    <row r="562" spans="1:7" ht="15" x14ac:dyDescent="0.15">
      <c r="A562" s="23" t="s">
        <v>595</v>
      </c>
      <c r="B562" s="23">
        <v>1437</v>
      </c>
      <c r="C562" s="24" t="s">
        <v>480</v>
      </c>
      <c r="D562" s="3" t="e">
        <f>VLOOKUP(A562,武将获取途径!$A:$D,4,0)</f>
        <v>#N/A</v>
      </c>
    </row>
    <row r="563" spans="1:7" ht="15" x14ac:dyDescent="0.15">
      <c r="A563" s="23" t="s">
        <v>596</v>
      </c>
      <c r="B563" s="23">
        <v>1425</v>
      </c>
      <c r="C563" s="24" t="s">
        <v>480</v>
      </c>
      <c r="D563" s="3" t="str">
        <f>VLOOKUP(A563,武将获取途径!$A:$D,4,0)</f>
        <v>神将任务</v>
      </c>
    </row>
    <row r="564" spans="1:7" ht="15" x14ac:dyDescent="0.15">
      <c r="A564" s="23" t="s">
        <v>597</v>
      </c>
      <c r="B564" s="23">
        <v>1406</v>
      </c>
      <c r="C564" s="24" t="s">
        <v>480</v>
      </c>
      <c r="D564" s="3" t="e">
        <f>VLOOKUP(A564,武将获取途径!$A:$D,4,0)</f>
        <v>#N/A</v>
      </c>
    </row>
    <row r="565" spans="1:7" ht="15" x14ac:dyDescent="0.15">
      <c r="A565" s="23" t="s">
        <v>598</v>
      </c>
      <c r="B565" s="23">
        <v>1404</v>
      </c>
      <c r="C565" s="24" t="s">
        <v>480</v>
      </c>
      <c r="D565" s="3" t="e">
        <f>VLOOKUP(A565,武将获取途径!$A:$D,4,0)</f>
        <v>#N/A</v>
      </c>
    </row>
    <row r="566" spans="1:7" ht="15" x14ac:dyDescent="0.15">
      <c r="A566" s="23" t="s">
        <v>599</v>
      </c>
      <c r="B566" s="23">
        <v>1400</v>
      </c>
      <c r="C566" s="24" t="s">
        <v>480</v>
      </c>
      <c r="D566" s="3" t="str">
        <f>VLOOKUP(A566,武将获取途径!$A:$D,4,0)</f>
        <v>充值奖励</v>
      </c>
      <c r="G566"/>
    </row>
    <row r="567" spans="1:7" ht="15" x14ac:dyDescent="0.15">
      <c r="A567" s="25" t="s">
        <v>600</v>
      </c>
      <c r="B567" s="25">
        <v>1399</v>
      </c>
      <c r="C567" s="26" t="s">
        <v>601</v>
      </c>
      <c r="D567" s="3" t="e">
        <f>VLOOKUP(A567,武将获取途径!$A:$D,4,0)</f>
        <v>#N/A</v>
      </c>
    </row>
    <row r="568" spans="1:7" ht="15" x14ac:dyDescent="0.15">
      <c r="A568" s="25" t="s">
        <v>602</v>
      </c>
      <c r="B568" s="25">
        <v>1397</v>
      </c>
      <c r="C568" s="26" t="s">
        <v>601</v>
      </c>
      <c r="D568" s="3" t="e">
        <f>VLOOKUP(A568,武将获取途径!$A:$D,4,0)</f>
        <v>#N/A</v>
      </c>
    </row>
    <row r="569" spans="1:7" ht="15" x14ac:dyDescent="0.15">
      <c r="A569" s="25" t="s">
        <v>603</v>
      </c>
      <c r="B569" s="25">
        <v>1397</v>
      </c>
      <c r="C569" s="26" t="s">
        <v>601</v>
      </c>
      <c r="D569" s="3" t="e">
        <f>VLOOKUP(A569,武将获取途径!$A:$D,4,0)</f>
        <v>#N/A</v>
      </c>
    </row>
    <row r="570" spans="1:7" ht="15" x14ac:dyDescent="0.15">
      <c r="A570" s="25" t="s">
        <v>604</v>
      </c>
      <c r="B570" s="25">
        <v>1397</v>
      </c>
      <c r="C570" s="26" t="s">
        <v>601</v>
      </c>
      <c r="D570" s="3" t="e">
        <f>VLOOKUP(A570,武将获取途径!$A:$D,4,0)</f>
        <v>#N/A</v>
      </c>
    </row>
    <row r="571" spans="1:7" ht="15" x14ac:dyDescent="0.15">
      <c r="A571" s="25" t="s">
        <v>605</v>
      </c>
      <c r="B571" s="25">
        <v>1395</v>
      </c>
      <c r="C571" s="26" t="s">
        <v>601</v>
      </c>
      <c r="D571" s="3" t="e">
        <f>VLOOKUP(A571,武将获取途径!$A:$D,4,0)</f>
        <v>#N/A</v>
      </c>
    </row>
    <row r="572" spans="1:7" ht="15" x14ac:dyDescent="0.15">
      <c r="A572" s="25" t="s">
        <v>606</v>
      </c>
      <c r="B572" s="25">
        <v>1395</v>
      </c>
      <c r="C572" s="26" t="s">
        <v>601</v>
      </c>
      <c r="D572" s="3" t="e">
        <f>VLOOKUP(A572,武将获取途径!$A:$D,4,0)</f>
        <v>#N/A</v>
      </c>
    </row>
    <row r="573" spans="1:7" ht="15" x14ac:dyDescent="0.15">
      <c r="A573" s="25" t="s">
        <v>607</v>
      </c>
      <c r="B573" s="25">
        <v>1394</v>
      </c>
      <c r="C573" s="26" t="s">
        <v>601</v>
      </c>
      <c r="D573" s="3" t="e">
        <f>VLOOKUP(A573,武将获取途径!$A:$D,4,0)</f>
        <v>#N/A</v>
      </c>
    </row>
    <row r="574" spans="1:7" ht="15" x14ac:dyDescent="0.15">
      <c r="A574" s="25" t="s">
        <v>608</v>
      </c>
      <c r="B574" s="25">
        <v>1392</v>
      </c>
      <c r="C574" s="26" t="s">
        <v>601</v>
      </c>
      <c r="D574" s="3" t="e">
        <f>VLOOKUP(A574,武将获取途径!$A:$D,4,0)</f>
        <v>#N/A</v>
      </c>
    </row>
    <row r="575" spans="1:7" ht="15" x14ac:dyDescent="0.15">
      <c r="A575" s="25" t="s">
        <v>609</v>
      </c>
      <c r="B575" s="25">
        <v>1392</v>
      </c>
      <c r="C575" s="26" t="s">
        <v>601</v>
      </c>
      <c r="D575" s="3" t="e">
        <f>VLOOKUP(A575,武将获取途径!$A:$D,4,0)</f>
        <v>#N/A</v>
      </c>
    </row>
    <row r="576" spans="1:7" ht="15" x14ac:dyDescent="0.15">
      <c r="A576" s="25" t="s">
        <v>610</v>
      </c>
      <c r="B576" s="25">
        <v>1390</v>
      </c>
      <c r="C576" s="26" t="s">
        <v>601</v>
      </c>
      <c r="D576" s="3" t="str">
        <f>VLOOKUP(A576,武将获取途径!$A:$D,4,0)</f>
        <v>神将任务</v>
      </c>
    </row>
    <row r="577" spans="1:5" ht="15" x14ac:dyDescent="0.15">
      <c r="A577" s="25" t="s">
        <v>611</v>
      </c>
      <c r="B577" s="25">
        <v>1390</v>
      </c>
      <c r="C577" s="26" t="s">
        <v>601</v>
      </c>
      <c r="D577" s="3" t="e">
        <f>VLOOKUP(A577,武将获取途径!$A:$D,4,0)</f>
        <v>#N/A</v>
      </c>
      <c r="E577" s="3">
        <v>1</v>
      </c>
    </row>
    <row r="578" spans="1:5" ht="15" x14ac:dyDescent="0.15">
      <c r="A578" s="25" t="s">
        <v>612</v>
      </c>
      <c r="B578" s="25">
        <v>1389</v>
      </c>
      <c r="C578" s="26" t="s">
        <v>601</v>
      </c>
      <c r="D578" s="3" t="e">
        <f>VLOOKUP(A578,武将获取途径!$A:$D,4,0)</f>
        <v>#N/A</v>
      </c>
    </row>
    <row r="579" spans="1:5" ht="15" x14ac:dyDescent="0.15">
      <c r="A579" s="25" t="s">
        <v>613</v>
      </c>
      <c r="B579" s="25">
        <v>1387</v>
      </c>
      <c r="C579" s="26" t="s">
        <v>601</v>
      </c>
      <c r="D579" s="3" t="e">
        <f>VLOOKUP(A579,武将获取途径!$A:$D,4,0)</f>
        <v>#N/A</v>
      </c>
    </row>
    <row r="580" spans="1:5" ht="15" x14ac:dyDescent="0.15">
      <c r="A580" s="25" t="s">
        <v>614</v>
      </c>
      <c r="B580" s="25">
        <v>1385</v>
      </c>
      <c r="C580" s="26" t="s">
        <v>601</v>
      </c>
      <c r="D580" s="3" t="e">
        <f>VLOOKUP(A580,武将获取途径!$A:$D,4,0)</f>
        <v>#N/A</v>
      </c>
    </row>
    <row r="581" spans="1:5" ht="15" x14ac:dyDescent="0.15">
      <c r="A581" s="25" t="s">
        <v>615</v>
      </c>
      <c r="B581" s="25">
        <v>1384</v>
      </c>
      <c r="C581" s="26" t="s">
        <v>601</v>
      </c>
      <c r="D581" s="3" t="e">
        <f>VLOOKUP(A581,武将获取途径!$A:$D,4,0)</f>
        <v>#N/A</v>
      </c>
    </row>
    <row r="582" spans="1:5" ht="15" x14ac:dyDescent="0.15">
      <c r="A582" s="25" t="s">
        <v>616</v>
      </c>
      <c r="B582" s="25">
        <v>1384</v>
      </c>
      <c r="C582" s="26" t="s">
        <v>601</v>
      </c>
      <c r="D582" s="3" t="e">
        <f>VLOOKUP(A582,武将获取途径!$A:$D,4,0)</f>
        <v>#N/A</v>
      </c>
    </row>
    <row r="583" spans="1:5" ht="15" x14ac:dyDescent="0.15">
      <c r="A583" s="25" t="s">
        <v>617</v>
      </c>
      <c r="B583" s="25">
        <v>1384</v>
      </c>
      <c r="C583" s="26" t="s">
        <v>601</v>
      </c>
      <c r="D583" s="3" t="e">
        <f>VLOOKUP(A583,武将获取途径!$A:$D,4,0)</f>
        <v>#N/A</v>
      </c>
    </row>
    <row r="584" spans="1:5" ht="15" x14ac:dyDescent="0.15">
      <c r="A584" s="25" t="s">
        <v>618</v>
      </c>
      <c r="B584" s="25">
        <v>1383</v>
      </c>
      <c r="C584" s="26" t="s">
        <v>601</v>
      </c>
      <c r="D584" s="3" t="e">
        <f>VLOOKUP(A584,武将获取途径!$A:$D,4,0)</f>
        <v>#N/A</v>
      </c>
    </row>
    <row r="585" spans="1:5" ht="15" x14ac:dyDescent="0.15">
      <c r="A585" s="25" t="s">
        <v>619</v>
      </c>
      <c r="B585" s="25">
        <v>1380</v>
      </c>
      <c r="C585" s="26" t="s">
        <v>601</v>
      </c>
      <c r="D585" s="3" t="e">
        <f>VLOOKUP(A585,武将获取途径!$A:$D,4,0)</f>
        <v>#N/A</v>
      </c>
    </row>
    <row r="586" spans="1:5" ht="15" x14ac:dyDescent="0.15">
      <c r="A586" s="25" t="s">
        <v>620</v>
      </c>
      <c r="B586" s="25">
        <v>1378</v>
      </c>
      <c r="C586" s="26" t="s">
        <v>601</v>
      </c>
      <c r="D586" s="3" t="e">
        <f>VLOOKUP(A586,武将获取途径!$A:$D,4,0)</f>
        <v>#N/A</v>
      </c>
    </row>
    <row r="587" spans="1:5" ht="15" x14ac:dyDescent="0.15">
      <c r="A587" s="25" t="s">
        <v>621</v>
      </c>
      <c r="B587" s="25">
        <v>1376</v>
      </c>
      <c r="C587" s="26" t="s">
        <v>601</v>
      </c>
      <c r="D587" s="3" t="e">
        <f>VLOOKUP(A587,武将获取途径!$A:$D,4,0)</f>
        <v>#N/A</v>
      </c>
    </row>
    <row r="588" spans="1:5" ht="15" x14ac:dyDescent="0.15">
      <c r="A588" s="25" t="s">
        <v>622</v>
      </c>
      <c r="B588" s="25">
        <v>1372</v>
      </c>
      <c r="C588" s="26" t="s">
        <v>601</v>
      </c>
      <c r="D588" s="3" t="e">
        <f>VLOOKUP(A588,武将获取途径!$A:$D,4,0)</f>
        <v>#N/A</v>
      </c>
      <c r="E588" s="3">
        <v>1</v>
      </c>
    </row>
    <row r="589" spans="1:5" ht="15" x14ac:dyDescent="0.15">
      <c r="A589" s="25" t="s">
        <v>623</v>
      </c>
      <c r="B589" s="25">
        <v>1371</v>
      </c>
      <c r="C589" s="26" t="s">
        <v>601</v>
      </c>
      <c r="D589" s="3" t="e">
        <f>VLOOKUP(A589,武将获取途径!$A:$D,4,0)</f>
        <v>#N/A</v>
      </c>
    </row>
    <row r="590" spans="1:5" ht="15" x14ac:dyDescent="0.15">
      <c r="A590" s="25" t="s">
        <v>624</v>
      </c>
      <c r="B590" s="25">
        <v>1371</v>
      </c>
      <c r="C590" s="26" t="s">
        <v>601</v>
      </c>
      <c r="D590" s="3" t="e">
        <f>VLOOKUP(A590,武将获取途径!$A:$D,4,0)</f>
        <v>#N/A</v>
      </c>
    </row>
    <row r="591" spans="1:5" ht="15" x14ac:dyDescent="0.15">
      <c r="A591" s="25" t="s">
        <v>625</v>
      </c>
      <c r="B591" s="25">
        <v>1369</v>
      </c>
      <c r="C591" s="26" t="s">
        <v>601</v>
      </c>
      <c r="D591" s="3" t="e">
        <f>VLOOKUP(A591,武将获取途径!$A:$D,4,0)</f>
        <v>#N/A</v>
      </c>
    </row>
    <row r="592" spans="1:5" ht="15" x14ac:dyDescent="0.15">
      <c r="A592" s="25" t="s">
        <v>626</v>
      </c>
      <c r="B592" s="25">
        <v>1369</v>
      </c>
      <c r="C592" s="26" t="s">
        <v>601</v>
      </c>
      <c r="D592" s="3" t="e">
        <f>VLOOKUP(A592,武将获取途径!$A:$D,4,0)</f>
        <v>#N/A</v>
      </c>
    </row>
    <row r="593" spans="1:7" ht="15" x14ac:dyDescent="0.15">
      <c r="A593" s="25" t="s">
        <v>627</v>
      </c>
      <c r="B593" s="25">
        <v>1369</v>
      </c>
      <c r="C593" s="26" t="s">
        <v>601</v>
      </c>
      <c r="D593" s="3" t="e">
        <f>VLOOKUP(A593,武将获取途径!$A:$D,4,0)</f>
        <v>#N/A</v>
      </c>
    </row>
    <row r="594" spans="1:7" ht="15" x14ac:dyDescent="0.15">
      <c r="A594" s="25" t="s">
        <v>628</v>
      </c>
      <c r="B594" s="25">
        <v>1368</v>
      </c>
      <c r="C594" s="26" t="s">
        <v>601</v>
      </c>
      <c r="D594" s="3" t="e">
        <f>VLOOKUP(A594,武将获取途径!$A:$D,4,0)</f>
        <v>#N/A</v>
      </c>
    </row>
    <row r="595" spans="1:7" ht="15" x14ac:dyDescent="0.15">
      <c r="A595" s="25" t="s">
        <v>629</v>
      </c>
      <c r="B595" s="25">
        <v>1368</v>
      </c>
      <c r="C595" s="26" t="s">
        <v>601</v>
      </c>
      <c r="D595" s="3" t="str">
        <f>VLOOKUP(A595,武将获取途径!$A:$D,4,0)</f>
        <v>连连看</v>
      </c>
      <c r="G595"/>
    </row>
    <row r="596" spans="1:7" ht="15" x14ac:dyDescent="0.15">
      <c r="A596" s="25" t="s">
        <v>630</v>
      </c>
      <c r="B596" s="25">
        <v>1367</v>
      </c>
      <c r="C596" s="26" t="s">
        <v>601</v>
      </c>
      <c r="D596" s="3" t="e">
        <f>VLOOKUP(A596,武将获取途径!$A:$D,4,0)</f>
        <v>#N/A</v>
      </c>
    </row>
    <row r="597" spans="1:7" ht="15" x14ac:dyDescent="0.15">
      <c r="A597" s="25" t="s">
        <v>631</v>
      </c>
      <c r="B597" s="25">
        <v>1361</v>
      </c>
      <c r="C597" s="26" t="s">
        <v>601</v>
      </c>
      <c r="D597" s="3" t="e">
        <f>VLOOKUP(A597,武将获取途径!$A:$D,4,0)</f>
        <v>#N/A</v>
      </c>
    </row>
    <row r="598" spans="1:7" ht="15" x14ac:dyDescent="0.15">
      <c r="A598" s="25" t="s">
        <v>632</v>
      </c>
      <c r="B598" s="25">
        <v>1361</v>
      </c>
      <c r="C598" s="26" t="s">
        <v>601</v>
      </c>
      <c r="D598" s="3" t="e">
        <f>VLOOKUP(A598,武将获取途径!$A:$D,4,0)</f>
        <v>#N/A</v>
      </c>
    </row>
    <row r="599" spans="1:7" ht="15" x14ac:dyDescent="0.15">
      <c r="A599" s="25" t="s">
        <v>633</v>
      </c>
      <c r="B599" s="25">
        <v>1359</v>
      </c>
      <c r="C599" s="26" t="s">
        <v>601</v>
      </c>
      <c r="D599" s="3" t="e">
        <f>VLOOKUP(A599,武将获取途径!$A:$D,4,0)</f>
        <v>#N/A</v>
      </c>
    </row>
    <row r="600" spans="1:7" ht="15" x14ac:dyDescent="0.15">
      <c r="A600" s="25" t="s">
        <v>634</v>
      </c>
      <c r="B600" s="25">
        <v>1358</v>
      </c>
      <c r="C600" s="26" t="s">
        <v>601</v>
      </c>
      <c r="D600" s="3" t="e">
        <f>VLOOKUP(A600,武将获取途径!$A:$D,4,0)</f>
        <v>#N/A</v>
      </c>
    </row>
    <row r="601" spans="1:7" ht="15" x14ac:dyDescent="0.15">
      <c r="A601" s="25" t="s">
        <v>635</v>
      </c>
      <c r="B601" s="25">
        <v>1356</v>
      </c>
      <c r="C601" s="26" t="s">
        <v>601</v>
      </c>
      <c r="D601" s="3" t="e">
        <f>VLOOKUP(A601,武将获取途径!$A:$D,4,0)</f>
        <v>#N/A</v>
      </c>
    </row>
    <row r="602" spans="1:7" ht="15" x14ac:dyDescent="0.15">
      <c r="A602" s="25" t="s">
        <v>636</v>
      </c>
      <c r="B602" s="25">
        <v>1355</v>
      </c>
      <c r="C602" s="26" t="s">
        <v>601</v>
      </c>
      <c r="D602" s="3" t="e">
        <f>VLOOKUP(A602,武将获取途径!$A:$D,4,0)</f>
        <v>#N/A</v>
      </c>
    </row>
    <row r="603" spans="1:7" ht="15" x14ac:dyDescent="0.15">
      <c r="A603" s="25" t="s">
        <v>637</v>
      </c>
      <c r="B603" s="25">
        <v>1353</v>
      </c>
      <c r="C603" s="26" t="s">
        <v>601</v>
      </c>
      <c r="D603" s="3" t="e">
        <f>VLOOKUP(A603,武将获取途径!$A:$D,4,0)</f>
        <v>#N/A</v>
      </c>
    </row>
    <row r="604" spans="1:7" ht="15" x14ac:dyDescent="0.15">
      <c r="A604" s="25" t="s">
        <v>638</v>
      </c>
      <c r="B604" s="25">
        <v>1352</v>
      </c>
      <c r="C604" s="26" t="s">
        <v>601</v>
      </c>
      <c r="D604" s="3" t="e">
        <f>VLOOKUP(A604,武将获取途径!$A:$D,4,0)</f>
        <v>#N/A</v>
      </c>
    </row>
    <row r="605" spans="1:7" ht="15" x14ac:dyDescent="0.15">
      <c r="A605" s="25" t="s">
        <v>639</v>
      </c>
      <c r="B605" s="25">
        <v>1351</v>
      </c>
      <c r="C605" s="26" t="s">
        <v>601</v>
      </c>
      <c r="D605" s="3" t="e">
        <f>VLOOKUP(A605,武将获取途径!$A:$D,4,0)</f>
        <v>#N/A</v>
      </c>
    </row>
    <row r="606" spans="1:7" ht="15" x14ac:dyDescent="0.15">
      <c r="A606" s="25" t="s">
        <v>640</v>
      </c>
      <c r="B606" s="25">
        <v>1351</v>
      </c>
      <c r="C606" s="26" t="s">
        <v>601</v>
      </c>
      <c r="D606" s="3" t="e">
        <f>VLOOKUP(A606,武将获取途径!$A:$D,4,0)</f>
        <v>#N/A</v>
      </c>
    </row>
    <row r="607" spans="1:7" ht="15" x14ac:dyDescent="0.15">
      <c r="A607" s="25" t="s">
        <v>641</v>
      </c>
      <c r="B607" s="25">
        <v>1351</v>
      </c>
      <c r="C607" s="26" t="s">
        <v>601</v>
      </c>
      <c r="D607" s="3" t="e">
        <f>VLOOKUP(A607,武将获取途径!$A:$D,4,0)</f>
        <v>#N/A</v>
      </c>
    </row>
    <row r="608" spans="1:7" ht="15" x14ac:dyDescent="0.15">
      <c r="A608" s="25" t="s">
        <v>642</v>
      </c>
      <c r="B608" s="25">
        <v>1350</v>
      </c>
      <c r="C608" s="26" t="s">
        <v>601</v>
      </c>
      <c r="D608" s="3" t="e">
        <f>VLOOKUP(A608,武将获取途径!$A:$D,4,0)</f>
        <v>#N/A</v>
      </c>
    </row>
    <row r="609" spans="1:7" ht="15" x14ac:dyDescent="0.15">
      <c r="A609" s="25" t="s">
        <v>643</v>
      </c>
      <c r="B609" s="25">
        <v>1350</v>
      </c>
      <c r="C609" s="26" t="s">
        <v>601</v>
      </c>
      <c r="D609" s="3" t="e">
        <f>VLOOKUP(A609,武将获取途径!$A:$D,4,0)</f>
        <v>#N/A</v>
      </c>
    </row>
    <row r="610" spans="1:7" ht="15" x14ac:dyDescent="0.15">
      <c r="A610" s="25" t="s">
        <v>644</v>
      </c>
      <c r="B610" s="25">
        <v>1350</v>
      </c>
      <c r="C610" s="26" t="s">
        <v>601</v>
      </c>
      <c r="D610" s="3" t="e">
        <f>VLOOKUP(A610,武将获取途径!$A:$D,4,0)</f>
        <v>#N/A</v>
      </c>
    </row>
    <row r="611" spans="1:7" ht="15" x14ac:dyDescent="0.15">
      <c r="A611" s="25" t="s">
        <v>645</v>
      </c>
      <c r="B611" s="25">
        <v>1348</v>
      </c>
      <c r="C611" s="26" t="s">
        <v>601</v>
      </c>
      <c r="D611" s="3" t="str">
        <f>VLOOKUP(A611,武将获取途径!$A:$D,4,0)</f>
        <v>移动奖励</v>
      </c>
    </row>
    <row r="612" spans="1:7" ht="15" x14ac:dyDescent="0.15">
      <c r="A612" s="25" t="s">
        <v>646</v>
      </c>
      <c r="B612" s="25">
        <v>1342</v>
      </c>
      <c r="C612" s="26" t="s">
        <v>601</v>
      </c>
      <c r="D612" s="3" t="e">
        <f>VLOOKUP(A612,武将获取途径!$A:$D,4,0)</f>
        <v>#N/A</v>
      </c>
    </row>
    <row r="613" spans="1:7" ht="15" x14ac:dyDescent="0.15">
      <c r="A613" s="25" t="s">
        <v>647</v>
      </c>
      <c r="B613" s="25">
        <v>1342</v>
      </c>
      <c r="C613" s="26" t="s">
        <v>601</v>
      </c>
      <c r="D613" s="3" t="str">
        <f>VLOOKUP(A613,武将获取途径!$A:$D,4,0)</f>
        <v>纳贤</v>
      </c>
      <c r="G613"/>
    </row>
    <row r="614" spans="1:7" ht="15" x14ac:dyDescent="0.15">
      <c r="A614" s="25" t="s">
        <v>648</v>
      </c>
      <c r="B614" s="25">
        <v>1341</v>
      </c>
      <c r="C614" s="26" t="s">
        <v>601</v>
      </c>
      <c r="D614" s="3" t="e">
        <f>VLOOKUP(A614,武将获取途径!$A:$D,4,0)</f>
        <v>#N/A</v>
      </c>
    </row>
    <row r="615" spans="1:7" ht="15" x14ac:dyDescent="0.15">
      <c r="A615" s="25" t="s">
        <v>649</v>
      </c>
      <c r="B615" s="25">
        <v>1341</v>
      </c>
      <c r="C615" s="26" t="s">
        <v>601</v>
      </c>
      <c r="D615" s="3" t="e">
        <f>VLOOKUP(A615,武将获取途径!$A:$D,4,0)</f>
        <v>#N/A</v>
      </c>
    </row>
    <row r="616" spans="1:7" ht="15" x14ac:dyDescent="0.15">
      <c r="A616" s="25" t="s">
        <v>650</v>
      </c>
      <c r="B616" s="25">
        <v>1341</v>
      </c>
      <c r="C616" s="26" t="s">
        <v>601</v>
      </c>
      <c r="D616" s="3" t="e">
        <f>VLOOKUP(A616,武将获取途径!$A:$D,4,0)</f>
        <v>#N/A</v>
      </c>
    </row>
    <row r="617" spans="1:7" ht="15" x14ac:dyDescent="0.15">
      <c r="A617" s="25" t="s">
        <v>651</v>
      </c>
      <c r="B617" s="25">
        <v>1340</v>
      </c>
      <c r="C617" s="26" t="s">
        <v>601</v>
      </c>
      <c r="D617" s="3" t="e">
        <f>VLOOKUP(A617,武将获取途径!$A:$D,4,0)</f>
        <v>#N/A</v>
      </c>
    </row>
    <row r="618" spans="1:7" ht="15" x14ac:dyDescent="0.15">
      <c r="A618" s="25" t="s">
        <v>652</v>
      </c>
      <c r="B618" s="25">
        <v>1334</v>
      </c>
      <c r="C618" s="26" t="s">
        <v>601</v>
      </c>
      <c r="D618" s="3" t="e">
        <f>VLOOKUP(A618,武将获取途径!$A:$D,4,0)</f>
        <v>#N/A</v>
      </c>
    </row>
    <row r="619" spans="1:7" ht="15" x14ac:dyDescent="0.15">
      <c r="A619" s="25" t="s">
        <v>653</v>
      </c>
      <c r="B619" s="25">
        <v>1334</v>
      </c>
      <c r="C619" s="26" t="s">
        <v>601</v>
      </c>
      <c r="D619" s="3" t="e">
        <f>VLOOKUP(A619,武将获取途径!$A:$D,4,0)</f>
        <v>#N/A</v>
      </c>
    </row>
    <row r="620" spans="1:7" ht="15" x14ac:dyDescent="0.15">
      <c r="A620" s="25" t="s">
        <v>654</v>
      </c>
      <c r="B620" s="25">
        <v>1334</v>
      </c>
      <c r="C620" s="26" t="s">
        <v>601</v>
      </c>
      <c r="D620" s="3" t="e">
        <f>VLOOKUP(A620,武将获取途径!$A:$D,4,0)</f>
        <v>#N/A</v>
      </c>
    </row>
    <row r="621" spans="1:7" ht="15" x14ac:dyDescent="0.15">
      <c r="A621" s="25" t="s">
        <v>655</v>
      </c>
      <c r="B621" s="25">
        <v>1333</v>
      </c>
      <c r="C621" s="26" t="s">
        <v>601</v>
      </c>
      <c r="D621" s="3" t="e">
        <f>VLOOKUP(A621,武将获取途径!$A:$D,4,0)</f>
        <v>#N/A</v>
      </c>
    </row>
    <row r="622" spans="1:7" ht="15" x14ac:dyDescent="0.15">
      <c r="A622" s="25" t="s">
        <v>656</v>
      </c>
      <c r="B622" s="25">
        <v>1329</v>
      </c>
      <c r="C622" s="26" t="s">
        <v>601</v>
      </c>
      <c r="D622" s="3" t="e">
        <f>VLOOKUP(A622,武将获取途径!$A:$D,4,0)</f>
        <v>#N/A</v>
      </c>
    </row>
    <row r="623" spans="1:7" ht="15" x14ac:dyDescent="0.15">
      <c r="A623" s="25" t="s">
        <v>657</v>
      </c>
      <c r="B623" s="25">
        <v>1325</v>
      </c>
      <c r="C623" s="26" t="s">
        <v>601</v>
      </c>
      <c r="D623" s="3" t="e">
        <f>VLOOKUP(A623,武将获取途径!$A:$D,4,0)</f>
        <v>#N/A</v>
      </c>
    </row>
    <row r="624" spans="1:7" ht="15" x14ac:dyDescent="0.15">
      <c r="A624" s="25" t="s">
        <v>658</v>
      </c>
      <c r="B624" s="25">
        <v>1325</v>
      </c>
      <c r="C624" s="26" t="s">
        <v>601</v>
      </c>
      <c r="D624" s="3" t="e">
        <f>VLOOKUP(A624,武将获取途径!$A:$D,4,0)</f>
        <v>#N/A</v>
      </c>
    </row>
    <row r="625" spans="1:4" ht="15" x14ac:dyDescent="0.15">
      <c r="A625" s="25" t="s">
        <v>659</v>
      </c>
      <c r="B625" s="25">
        <v>1324</v>
      </c>
      <c r="C625" s="26" t="s">
        <v>601</v>
      </c>
      <c r="D625" s="3" t="e">
        <f>VLOOKUP(A625,武将获取途径!$A:$D,4,0)</f>
        <v>#N/A</v>
      </c>
    </row>
    <row r="626" spans="1:4" ht="15" x14ac:dyDescent="0.15">
      <c r="A626" s="25" t="s">
        <v>660</v>
      </c>
      <c r="B626" s="25">
        <v>1322</v>
      </c>
      <c r="C626" s="26" t="s">
        <v>601</v>
      </c>
      <c r="D626" s="3" t="e">
        <f>VLOOKUP(A626,武将获取途径!$A:$D,4,0)</f>
        <v>#N/A</v>
      </c>
    </row>
    <row r="627" spans="1:4" ht="15" x14ac:dyDescent="0.15">
      <c r="A627" s="25" t="s">
        <v>661</v>
      </c>
      <c r="B627" s="25">
        <v>1321</v>
      </c>
      <c r="C627" s="26" t="s">
        <v>601</v>
      </c>
      <c r="D627" s="3" t="e">
        <f>VLOOKUP(A627,武将获取途径!$A:$D,4,0)</f>
        <v>#N/A</v>
      </c>
    </row>
    <row r="628" spans="1:4" ht="15" x14ac:dyDescent="0.15">
      <c r="A628" s="25" t="s">
        <v>662</v>
      </c>
      <c r="B628" s="25">
        <v>1319</v>
      </c>
      <c r="C628" s="26" t="s">
        <v>601</v>
      </c>
      <c r="D628" s="3" t="e">
        <f>VLOOKUP(A628,武将获取途径!$A:$D,4,0)</f>
        <v>#N/A</v>
      </c>
    </row>
    <row r="629" spans="1:4" ht="15" x14ac:dyDescent="0.15">
      <c r="A629" s="25" t="s">
        <v>663</v>
      </c>
      <c r="B629" s="25">
        <v>1319</v>
      </c>
      <c r="C629" s="26" t="s">
        <v>601</v>
      </c>
      <c r="D629" s="3" t="e">
        <f>VLOOKUP(A629,武将获取途径!$A:$D,4,0)</f>
        <v>#N/A</v>
      </c>
    </row>
    <row r="630" spans="1:4" ht="15" x14ac:dyDescent="0.15">
      <c r="A630" s="25" t="s">
        <v>664</v>
      </c>
      <c r="B630" s="25">
        <v>1318</v>
      </c>
      <c r="C630" s="26" t="s">
        <v>601</v>
      </c>
      <c r="D630" s="3" t="e">
        <f>VLOOKUP(A630,武将获取途径!$A:$D,4,0)</f>
        <v>#N/A</v>
      </c>
    </row>
    <row r="631" spans="1:4" ht="15" x14ac:dyDescent="0.15">
      <c r="A631" s="25" t="s">
        <v>665</v>
      </c>
      <c r="B631" s="25">
        <v>1317</v>
      </c>
      <c r="C631" s="26" t="s">
        <v>601</v>
      </c>
      <c r="D631" s="3" t="e">
        <f>VLOOKUP(A631,武将获取途径!$A:$D,4,0)</f>
        <v>#N/A</v>
      </c>
    </row>
    <row r="632" spans="1:4" ht="15" x14ac:dyDescent="0.15">
      <c r="A632" s="25" t="s">
        <v>666</v>
      </c>
      <c r="B632" s="25">
        <v>1314</v>
      </c>
      <c r="C632" s="26" t="s">
        <v>601</v>
      </c>
      <c r="D632" s="3" t="e">
        <f>VLOOKUP(A632,武将获取途径!$A:$D,4,0)</f>
        <v>#N/A</v>
      </c>
    </row>
    <row r="633" spans="1:4" ht="15" x14ac:dyDescent="0.15">
      <c r="A633" s="25" t="s">
        <v>667</v>
      </c>
      <c r="B633" s="25">
        <v>1312</v>
      </c>
      <c r="C633" s="26" t="s">
        <v>601</v>
      </c>
      <c r="D633" s="3" t="e">
        <f>VLOOKUP(A633,武将获取途径!$A:$D,4,0)</f>
        <v>#N/A</v>
      </c>
    </row>
    <row r="634" spans="1:4" ht="15" x14ac:dyDescent="0.15">
      <c r="A634" s="68" t="s">
        <v>668</v>
      </c>
      <c r="B634" s="25">
        <v>1311</v>
      </c>
      <c r="C634" s="26" t="s">
        <v>601</v>
      </c>
      <c r="D634" s="3" t="e">
        <f>VLOOKUP(A634,武将获取途径!$A:$D,4,0)</f>
        <v>#N/A</v>
      </c>
    </row>
    <row r="635" spans="1:4" ht="15" x14ac:dyDescent="0.15">
      <c r="A635" s="25" t="s">
        <v>669</v>
      </c>
      <c r="B635" s="25">
        <v>1309</v>
      </c>
      <c r="C635" s="26" t="s">
        <v>601</v>
      </c>
      <c r="D635" s="3" t="e">
        <f>VLOOKUP(A635,武将获取途径!$A:$D,4,0)</f>
        <v>#N/A</v>
      </c>
    </row>
    <row r="636" spans="1:4" ht="15" x14ac:dyDescent="0.15">
      <c r="A636" s="25" t="s">
        <v>670</v>
      </c>
      <c r="B636" s="25">
        <v>1307</v>
      </c>
      <c r="C636" s="26" t="s">
        <v>601</v>
      </c>
      <c r="D636" s="3" t="e">
        <f>VLOOKUP(A636,武将获取途径!$A:$D,4,0)</f>
        <v>#N/A</v>
      </c>
    </row>
    <row r="637" spans="1:4" ht="15" x14ac:dyDescent="0.15">
      <c r="A637" s="25" t="s">
        <v>671</v>
      </c>
      <c r="B637" s="25">
        <v>1306</v>
      </c>
      <c r="C637" s="26" t="s">
        <v>601</v>
      </c>
      <c r="D637" s="3" t="e">
        <f>VLOOKUP(A637,武将获取途径!$A:$D,4,0)</f>
        <v>#N/A</v>
      </c>
    </row>
    <row r="638" spans="1:4" ht="15" x14ac:dyDescent="0.15">
      <c r="A638" s="25" t="s">
        <v>672</v>
      </c>
      <c r="B638" s="25">
        <v>1305</v>
      </c>
      <c r="C638" s="26" t="s">
        <v>601</v>
      </c>
      <c r="D638" s="3" t="e">
        <f>VLOOKUP(A638,武将获取途径!$A:$D,4,0)</f>
        <v>#N/A</v>
      </c>
    </row>
    <row r="639" spans="1:4" ht="15" x14ac:dyDescent="0.15">
      <c r="A639" s="25" t="s">
        <v>673</v>
      </c>
      <c r="B639" s="25">
        <v>1304</v>
      </c>
      <c r="C639" s="26" t="s">
        <v>601</v>
      </c>
      <c r="D639" s="3" t="e">
        <f>VLOOKUP(A639,武将获取途径!$A:$D,4,0)</f>
        <v>#N/A</v>
      </c>
    </row>
    <row r="640" spans="1:4" ht="15" x14ac:dyDescent="0.15">
      <c r="A640" s="25" t="s">
        <v>674</v>
      </c>
      <c r="B640" s="25">
        <v>1294</v>
      </c>
      <c r="C640" s="26" t="s">
        <v>601</v>
      </c>
      <c r="D640" s="3" t="e">
        <f>VLOOKUP(A640,武将获取途径!$A:$D,4,0)</f>
        <v>#N/A</v>
      </c>
    </row>
    <row r="641" spans="1:4" ht="15" x14ac:dyDescent="0.15">
      <c r="A641" s="25" t="s">
        <v>675</v>
      </c>
      <c r="B641" s="25">
        <v>1290</v>
      </c>
      <c r="C641" s="26" t="s">
        <v>601</v>
      </c>
      <c r="D641" s="3" t="e">
        <f>VLOOKUP(A641,武将获取途径!$A:$D,4,0)</f>
        <v>#N/A</v>
      </c>
    </row>
    <row r="642" spans="1:4" ht="15" x14ac:dyDescent="0.15">
      <c r="A642" s="25" t="s">
        <v>676</v>
      </c>
      <c r="B642" s="25">
        <v>1288</v>
      </c>
      <c r="C642" s="26" t="s">
        <v>601</v>
      </c>
      <c r="D642" s="3" t="e">
        <f>VLOOKUP(A642,武将获取途径!$A:$D,4,0)</f>
        <v>#N/A</v>
      </c>
    </row>
    <row r="643" spans="1:4" ht="15" x14ac:dyDescent="0.15">
      <c r="A643" s="25" t="s">
        <v>677</v>
      </c>
      <c r="B643" s="25">
        <v>1287</v>
      </c>
      <c r="C643" s="26" t="s">
        <v>601</v>
      </c>
      <c r="D643" s="3" t="e">
        <f>VLOOKUP(A643,武将获取途径!$A:$D,4,0)</f>
        <v>#N/A</v>
      </c>
    </row>
    <row r="644" spans="1:4" ht="15" x14ac:dyDescent="0.15">
      <c r="A644" s="25" t="s">
        <v>678</v>
      </c>
      <c r="B644" s="25">
        <v>1287</v>
      </c>
      <c r="C644" s="26" t="s">
        <v>601</v>
      </c>
      <c r="D644" s="3" t="e">
        <f>VLOOKUP(A644,武将获取途径!$A:$D,4,0)</f>
        <v>#N/A</v>
      </c>
    </row>
    <row r="645" spans="1:4" ht="15" x14ac:dyDescent="0.15">
      <c r="A645" s="25" t="s">
        <v>679</v>
      </c>
      <c r="B645" s="25">
        <v>1286</v>
      </c>
      <c r="C645" s="26" t="s">
        <v>601</v>
      </c>
      <c r="D645" s="3" t="e">
        <f>VLOOKUP(A645,武将获取途径!$A:$D,4,0)</f>
        <v>#N/A</v>
      </c>
    </row>
    <row r="646" spans="1:4" ht="15" x14ac:dyDescent="0.15">
      <c r="A646" s="25" t="s">
        <v>680</v>
      </c>
      <c r="B646" s="25">
        <v>1285</v>
      </c>
      <c r="C646" s="26" t="s">
        <v>601</v>
      </c>
      <c r="D646" s="3" t="e">
        <f>VLOOKUP(A646,武将获取途径!$A:$D,4,0)</f>
        <v>#N/A</v>
      </c>
    </row>
    <row r="647" spans="1:4" ht="15" x14ac:dyDescent="0.15">
      <c r="A647" s="25" t="s">
        <v>681</v>
      </c>
      <c r="B647" s="25">
        <v>1285</v>
      </c>
      <c r="C647" s="26" t="s">
        <v>601</v>
      </c>
      <c r="D647" s="3" t="e">
        <f>VLOOKUP(A647,武将获取途径!$A:$D,4,0)</f>
        <v>#N/A</v>
      </c>
    </row>
    <row r="648" spans="1:4" ht="15" x14ac:dyDescent="0.15">
      <c r="A648" s="25" t="s">
        <v>682</v>
      </c>
      <c r="B648" s="25">
        <v>1283</v>
      </c>
      <c r="C648" s="26" t="s">
        <v>601</v>
      </c>
      <c r="D648" s="3" t="e">
        <f>VLOOKUP(A648,武将获取途径!$A:$D,4,0)</f>
        <v>#N/A</v>
      </c>
    </row>
    <row r="649" spans="1:4" ht="15" x14ac:dyDescent="0.15">
      <c r="A649" s="25" t="s">
        <v>683</v>
      </c>
      <c r="B649" s="25">
        <v>1282</v>
      </c>
      <c r="C649" s="26" t="s">
        <v>601</v>
      </c>
      <c r="D649" s="3" t="e">
        <f>VLOOKUP(A649,武将获取途径!$A:$D,4,0)</f>
        <v>#N/A</v>
      </c>
    </row>
    <row r="650" spans="1:4" ht="15" x14ac:dyDescent="0.15">
      <c r="A650" s="25" t="s">
        <v>684</v>
      </c>
      <c r="B650" s="25">
        <v>1281</v>
      </c>
      <c r="C650" s="26" t="s">
        <v>601</v>
      </c>
      <c r="D650" s="3" t="e">
        <f>VLOOKUP(A650,武将获取途径!$A:$D,4,0)</f>
        <v>#N/A</v>
      </c>
    </row>
    <row r="651" spans="1:4" ht="15" x14ac:dyDescent="0.15">
      <c r="A651" s="25" t="s">
        <v>685</v>
      </c>
      <c r="B651" s="25">
        <v>1280</v>
      </c>
      <c r="C651" s="26" t="s">
        <v>601</v>
      </c>
      <c r="D651" s="3" t="str">
        <f>VLOOKUP(A651,武将获取途径!$A:$D,4,0)</f>
        <v>神将任务</v>
      </c>
    </row>
    <row r="652" spans="1:4" ht="15" x14ac:dyDescent="0.15">
      <c r="A652" s="25" t="s">
        <v>686</v>
      </c>
      <c r="B652" s="25">
        <v>1280</v>
      </c>
      <c r="C652" s="26" t="s">
        <v>601</v>
      </c>
      <c r="D652" s="3" t="e">
        <f>VLOOKUP(A652,武将获取途径!$A:$D,4,0)</f>
        <v>#N/A</v>
      </c>
    </row>
    <row r="653" spans="1:4" ht="15" x14ac:dyDescent="0.15">
      <c r="A653" s="25" t="s">
        <v>687</v>
      </c>
      <c r="B653" s="25">
        <v>1277</v>
      </c>
      <c r="C653" s="26" t="s">
        <v>601</v>
      </c>
      <c r="D653" s="3" t="e">
        <f>VLOOKUP(A653,武将获取途径!$A:$D,4,0)</f>
        <v>#N/A</v>
      </c>
    </row>
    <row r="654" spans="1:4" ht="15" x14ac:dyDescent="0.15">
      <c r="A654" s="25" t="s">
        <v>688</v>
      </c>
      <c r="B654" s="25">
        <v>1275</v>
      </c>
      <c r="C654" s="26" t="s">
        <v>601</v>
      </c>
      <c r="D654" s="3" t="e">
        <f>VLOOKUP(A654,武将获取途径!$A:$D,4,0)</f>
        <v>#N/A</v>
      </c>
    </row>
    <row r="655" spans="1:4" ht="15" x14ac:dyDescent="0.15">
      <c r="A655" s="25" t="s">
        <v>689</v>
      </c>
      <c r="B655" s="25">
        <v>1273</v>
      </c>
      <c r="C655" s="26" t="s">
        <v>601</v>
      </c>
      <c r="D655" s="3" t="e">
        <f>VLOOKUP(A655,武将获取途径!$A:$D,4,0)</f>
        <v>#N/A</v>
      </c>
    </row>
    <row r="656" spans="1:4" ht="15" x14ac:dyDescent="0.15">
      <c r="A656" s="25" t="s">
        <v>690</v>
      </c>
      <c r="B656" s="25">
        <v>1272</v>
      </c>
      <c r="C656" s="26" t="s">
        <v>601</v>
      </c>
      <c r="D656" s="3" t="e">
        <f>VLOOKUP(A656,武将获取途径!$A:$D,4,0)</f>
        <v>#N/A</v>
      </c>
    </row>
    <row r="657" spans="1:4" ht="15" x14ac:dyDescent="0.15">
      <c r="A657" s="25" t="s">
        <v>691</v>
      </c>
      <c r="B657" s="25">
        <v>1271</v>
      </c>
      <c r="C657" s="26" t="s">
        <v>601</v>
      </c>
      <c r="D657" s="3" t="e">
        <f>VLOOKUP(A657,武将获取途径!$A:$D,4,0)</f>
        <v>#N/A</v>
      </c>
    </row>
    <row r="658" spans="1:4" ht="15" x14ac:dyDescent="0.15">
      <c r="A658" s="25" t="s">
        <v>638</v>
      </c>
      <c r="B658" s="25">
        <v>1267</v>
      </c>
      <c r="C658" s="26" t="s">
        <v>601</v>
      </c>
      <c r="D658" s="3" t="e">
        <f>VLOOKUP(A658,武将获取途径!$A:$D,4,0)</f>
        <v>#N/A</v>
      </c>
    </row>
    <row r="659" spans="1:4" ht="15" x14ac:dyDescent="0.15">
      <c r="A659" s="25" t="s">
        <v>692</v>
      </c>
      <c r="B659" s="25">
        <v>1263</v>
      </c>
      <c r="C659" s="26" t="s">
        <v>601</v>
      </c>
      <c r="D659" s="3" t="e">
        <f>VLOOKUP(A659,武将获取途径!$A:$D,4,0)</f>
        <v>#N/A</v>
      </c>
    </row>
    <row r="660" spans="1:4" ht="15" x14ac:dyDescent="0.15">
      <c r="A660" s="25" t="s">
        <v>693</v>
      </c>
      <c r="B660" s="25">
        <v>1260</v>
      </c>
      <c r="C660" s="26" t="s">
        <v>601</v>
      </c>
      <c r="D660" s="3" t="e">
        <f>VLOOKUP(A660,武将获取途径!$A:$D,4,0)</f>
        <v>#N/A</v>
      </c>
    </row>
    <row r="661" spans="1:4" ht="15" x14ac:dyDescent="0.15">
      <c r="A661" s="25" t="s">
        <v>694</v>
      </c>
      <c r="B661" s="25">
        <v>1260</v>
      </c>
      <c r="C661" s="26" t="s">
        <v>601</v>
      </c>
      <c r="D661" s="3" t="e">
        <f>VLOOKUP(A661,武将获取途径!$A:$D,4,0)</f>
        <v>#N/A</v>
      </c>
    </row>
    <row r="662" spans="1:4" ht="15" x14ac:dyDescent="0.15">
      <c r="A662" s="25" t="s">
        <v>695</v>
      </c>
      <c r="B662" s="25">
        <v>1260</v>
      </c>
      <c r="C662" s="26" t="s">
        <v>601</v>
      </c>
      <c r="D662" s="3" t="e">
        <f>VLOOKUP(A662,武将获取途径!$A:$D,4,0)</f>
        <v>#N/A</v>
      </c>
    </row>
    <row r="663" spans="1:4" ht="15" x14ac:dyDescent="0.15">
      <c r="A663" s="25" t="s">
        <v>696</v>
      </c>
      <c r="B663" s="25">
        <v>1258</v>
      </c>
      <c r="C663" s="26" t="s">
        <v>601</v>
      </c>
      <c r="D663" s="3" t="e">
        <f>VLOOKUP(A663,武将获取途径!$A:$D,4,0)</f>
        <v>#N/A</v>
      </c>
    </row>
    <row r="664" spans="1:4" ht="15" x14ac:dyDescent="0.15">
      <c r="A664" s="25" t="s">
        <v>697</v>
      </c>
      <c r="B664" s="25">
        <v>1257</v>
      </c>
      <c r="C664" s="26" t="s">
        <v>601</v>
      </c>
      <c r="D664" s="3" t="e">
        <f>VLOOKUP(A664,武将获取途径!$A:$D,4,0)</f>
        <v>#N/A</v>
      </c>
    </row>
    <row r="665" spans="1:4" ht="15" x14ac:dyDescent="0.15">
      <c r="A665" s="25" t="s">
        <v>698</v>
      </c>
      <c r="B665" s="25">
        <v>1253</v>
      </c>
      <c r="C665" s="26" t="s">
        <v>601</v>
      </c>
      <c r="D665" s="3" t="e">
        <f>VLOOKUP(A665,武将获取途径!$A:$D,4,0)</f>
        <v>#N/A</v>
      </c>
    </row>
    <row r="666" spans="1:4" ht="15" x14ac:dyDescent="0.15">
      <c r="A666" s="25" t="s">
        <v>699</v>
      </c>
      <c r="B666" s="25">
        <v>1251</v>
      </c>
      <c r="C666" s="26" t="s">
        <v>601</v>
      </c>
      <c r="D666" s="3" t="e">
        <f>VLOOKUP(A666,武将获取途径!$A:$D,4,0)</f>
        <v>#N/A</v>
      </c>
    </row>
    <row r="667" spans="1:4" ht="15" x14ac:dyDescent="0.15">
      <c r="A667" s="25" t="s">
        <v>700</v>
      </c>
      <c r="B667" s="25">
        <v>1249</v>
      </c>
      <c r="C667" s="26" t="s">
        <v>601</v>
      </c>
      <c r="D667" s="3" t="e">
        <f>VLOOKUP(A667,武将获取途径!$A:$D,4,0)</f>
        <v>#N/A</v>
      </c>
    </row>
    <row r="668" spans="1:4" ht="15" x14ac:dyDescent="0.15">
      <c r="A668" s="25" t="s">
        <v>701</v>
      </c>
      <c r="B668" s="25">
        <v>1249</v>
      </c>
      <c r="C668" s="26" t="s">
        <v>601</v>
      </c>
      <c r="D668" s="3" t="e">
        <f>VLOOKUP(A668,武将获取途径!$A:$D,4,0)</f>
        <v>#N/A</v>
      </c>
    </row>
    <row r="669" spans="1:4" ht="15" x14ac:dyDescent="0.15">
      <c r="A669" s="25" t="s">
        <v>702</v>
      </c>
      <c r="B669" s="25">
        <v>1244</v>
      </c>
      <c r="C669" s="26" t="s">
        <v>601</v>
      </c>
      <c r="D669" s="3" t="e">
        <f>VLOOKUP(A669,武将获取途径!$A:$D,4,0)</f>
        <v>#N/A</v>
      </c>
    </row>
    <row r="670" spans="1:4" ht="15" x14ac:dyDescent="0.15">
      <c r="A670" s="25" t="s">
        <v>703</v>
      </c>
      <c r="B670" s="25">
        <v>1237</v>
      </c>
      <c r="C670" s="26" t="s">
        <v>601</v>
      </c>
      <c r="D670" s="3" t="e">
        <f>VLOOKUP(A670,武将获取途径!$A:$D,4,0)</f>
        <v>#N/A</v>
      </c>
    </row>
    <row r="671" spans="1:4" ht="15" x14ac:dyDescent="0.15">
      <c r="A671" s="25" t="s">
        <v>704</v>
      </c>
      <c r="B671" s="25">
        <v>1236</v>
      </c>
      <c r="C671" s="26" t="s">
        <v>601</v>
      </c>
      <c r="D671" s="3" t="e">
        <f>VLOOKUP(A671,武将获取途径!$A:$D,4,0)</f>
        <v>#N/A</v>
      </c>
    </row>
    <row r="672" spans="1:4" ht="15" x14ac:dyDescent="0.15">
      <c r="A672" s="25" t="s">
        <v>705</v>
      </c>
      <c r="B672" s="25">
        <v>1235</v>
      </c>
      <c r="C672" s="26" t="s">
        <v>601</v>
      </c>
      <c r="D672" s="3" t="e">
        <f>VLOOKUP(A672,武将获取途径!$A:$D,4,0)</f>
        <v>#N/A</v>
      </c>
    </row>
    <row r="673" spans="1:7" ht="15" x14ac:dyDescent="0.15">
      <c r="A673" s="25" t="s">
        <v>706</v>
      </c>
      <c r="B673" s="25">
        <v>1233</v>
      </c>
      <c r="C673" s="26" t="s">
        <v>601</v>
      </c>
      <c r="D673" s="3" t="e">
        <f>VLOOKUP(A673,武将获取途径!$A:$D,4,0)</f>
        <v>#N/A</v>
      </c>
    </row>
    <row r="674" spans="1:7" ht="15" x14ac:dyDescent="0.15">
      <c r="A674" s="25" t="s">
        <v>707</v>
      </c>
      <c r="B674" s="25">
        <v>1231</v>
      </c>
      <c r="C674" s="26" t="s">
        <v>601</v>
      </c>
      <c r="D674" s="3" t="e">
        <f>VLOOKUP(A674,武将获取途径!$A:$D,4,0)</f>
        <v>#N/A</v>
      </c>
    </row>
    <row r="675" spans="1:7" ht="15" x14ac:dyDescent="0.15">
      <c r="A675" s="25" t="s">
        <v>708</v>
      </c>
      <c r="B675" s="25">
        <v>1229</v>
      </c>
      <c r="C675" s="26" t="s">
        <v>601</v>
      </c>
      <c r="D675" s="3" t="str">
        <f>VLOOKUP(A675,武将获取途径!$A:$D,4,0)</f>
        <v>砸蛋</v>
      </c>
      <c r="G675"/>
    </row>
    <row r="676" spans="1:7" ht="15" x14ac:dyDescent="0.15">
      <c r="A676" s="25" t="s">
        <v>709</v>
      </c>
      <c r="B676" s="25">
        <v>1228</v>
      </c>
      <c r="C676" s="26" t="s">
        <v>601</v>
      </c>
      <c r="D676" s="3" t="e">
        <f>VLOOKUP(A676,武将获取途径!$A:$D,4,0)</f>
        <v>#N/A</v>
      </c>
    </row>
    <row r="677" spans="1:7" ht="15" x14ac:dyDescent="0.15">
      <c r="A677" s="25" t="s">
        <v>710</v>
      </c>
      <c r="B677" s="25">
        <v>1226</v>
      </c>
      <c r="C677" s="26" t="s">
        <v>601</v>
      </c>
      <c r="D677" s="3" t="e">
        <f>VLOOKUP(A677,武将获取途径!$A:$D,4,0)</f>
        <v>#N/A</v>
      </c>
    </row>
    <row r="678" spans="1:7" ht="15" x14ac:dyDescent="0.15">
      <c r="A678" s="68" t="s">
        <v>711</v>
      </c>
      <c r="B678" s="25">
        <v>1224</v>
      </c>
      <c r="C678" s="26" t="s">
        <v>601</v>
      </c>
      <c r="D678" s="3" t="e">
        <f>VLOOKUP(A678,武将获取途径!$A:$D,4,0)</f>
        <v>#N/A</v>
      </c>
    </row>
    <row r="679" spans="1:7" ht="15" x14ac:dyDescent="0.15">
      <c r="A679" s="25" t="s">
        <v>712</v>
      </c>
      <c r="B679" s="25">
        <v>1224</v>
      </c>
      <c r="C679" s="26" t="s">
        <v>601</v>
      </c>
      <c r="D679" s="3" t="str">
        <f>VLOOKUP(A679,武将获取途径!$A:$D,4,0)</f>
        <v>神将任务</v>
      </c>
    </row>
    <row r="680" spans="1:7" ht="15" x14ac:dyDescent="0.15">
      <c r="A680" s="25" t="s">
        <v>713</v>
      </c>
      <c r="B680" s="25">
        <v>1217</v>
      </c>
      <c r="C680" s="26" t="s">
        <v>601</v>
      </c>
      <c r="D680" s="3" t="e">
        <f>VLOOKUP(A680,武将获取途径!$A:$D,4,0)</f>
        <v>#N/A</v>
      </c>
    </row>
    <row r="681" spans="1:7" ht="15" x14ac:dyDescent="0.15">
      <c r="A681" s="25" t="s">
        <v>714</v>
      </c>
      <c r="B681" s="25">
        <v>1211</v>
      </c>
      <c r="C681" s="26" t="s">
        <v>601</v>
      </c>
      <c r="D681" s="3" t="e">
        <f>VLOOKUP(A681,武将获取途径!$A:$D,4,0)</f>
        <v>#N/A</v>
      </c>
    </row>
    <row r="682" spans="1:7" ht="15" x14ac:dyDescent="0.15">
      <c r="A682" s="25" t="s">
        <v>715</v>
      </c>
      <c r="B682" s="25">
        <v>1209</v>
      </c>
      <c r="C682" s="26" t="s">
        <v>601</v>
      </c>
      <c r="D682" s="3" t="e">
        <f>VLOOKUP(A682,武将获取途径!$A:$D,4,0)</f>
        <v>#N/A</v>
      </c>
    </row>
    <row r="683" spans="1:7" ht="15" x14ac:dyDescent="0.15">
      <c r="A683" s="25" t="s">
        <v>716</v>
      </c>
      <c r="B683" s="25">
        <v>1208</v>
      </c>
      <c r="C683" s="26" t="s">
        <v>601</v>
      </c>
      <c r="D683" s="3" t="e">
        <f>VLOOKUP(A683,武将获取途径!$A:$D,4,0)</f>
        <v>#N/A</v>
      </c>
    </row>
    <row r="684" spans="1:7" ht="15" x14ac:dyDescent="0.15">
      <c r="A684" s="25" t="s">
        <v>717</v>
      </c>
      <c r="B684" s="25">
        <v>1208</v>
      </c>
      <c r="C684" s="26" t="s">
        <v>601</v>
      </c>
      <c r="D684" s="3" t="e">
        <f>VLOOKUP(A684,武将获取途径!$A:$D,4,0)</f>
        <v>#N/A</v>
      </c>
    </row>
    <row r="685" spans="1:7" ht="15" x14ac:dyDescent="0.15">
      <c r="A685" s="25" t="s">
        <v>718</v>
      </c>
      <c r="B685" s="25">
        <v>1206</v>
      </c>
      <c r="C685" s="26" t="s">
        <v>601</v>
      </c>
      <c r="D685" s="3" t="e">
        <f>VLOOKUP(A685,武将获取途径!$A:$D,4,0)</f>
        <v>#N/A</v>
      </c>
    </row>
    <row r="686" spans="1:7" ht="15" x14ac:dyDescent="0.15">
      <c r="A686" s="25" t="s">
        <v>719</v>
      </c>
      <c r="B686" s="25">
        <v>1201</v>
      </c>
      <c r="C686" s="26" t="s">
        <v>601</v>
      </c>
      <c r="D686" s="3" t="e">
        <f>VLOOKUP(A686,武将获取途径!$A:$D,4,0)</f>
        <v>#N/A</v>
      </c>
    </row>
    <row r="687" spans="1:7" ht="15" x14ac:dyDescent="0.15">
      <c r="A687" s="25" t="s">
        <v>720</v>
      </c>
      <c r="B687" s="25">
        <v>1200</v>
      </c>
      <c r="C687" s="26" t="s">
        <v>601</v>
      </c>
      <c r="D687" s="3" t="e">
        <f>VLOOKUP(A687,武将获取途径!$A:$D,4,0)</f>
        <v>#N/A</v>
      </c>
    </row>
    <row r="688" spans="1:7" ht="15" x14ac:dyDescent="0.15">
      <c r="A688" s="69" t="s">
        <v>721</v>
      </c>
      <c r="B688" s="69">
        <v>1195</v>
      </c>
      <c r="C688" s="70" t="s">
        <v>722</v>
      </c>
      <c r="D688" s="3" t="e">
        <f>VLOOKUP(A688,武将获取途径!$A:$D,4,0)</f>
        <v>#N/A</v>
      </c>
    </row>
    <row r="689" spans="1:4" ht="15" x14ac:dyDescent="0.15">
      <c r="A689" s="69" t="s">
        <v>723</v>
      </c>
      <c r="B689" s="69">
        <v>1192</v>
      </c>
      <c r="C689" s="70" t="s">
        <v>722</v>
      </c>
      <c r="D689" s="3" t="e">
        <f>VLOOKUP(A689,武将获取途径!$A:$D,4,0)</f>
        <v>#N/A</v>
      </c>
    </row>
    <row r="690" spans="1:4" ht="15" x14ac:dyDescent="0.15">
      <c r="A690" s="69" t="s">
        <v>724</v>
      </c>
      <c r="B690" s="69">
        <v>1190</v>
      </c>
      <c r="C690" s="70" t="s">
        <v>722</v>
      </c>
      <c r="D690" s="3" t="e">
        <f>VLOOKUP(A690,武将获取途径!$A:$D,4,0)</f>
        <v>#N/A</v>
      </c>
    </row>
    <row r="691" spans="1:4" ht="15" x14ac:dyDescent="0.15">
      <c r="A691" s="69" t="s">
        <v>725</v>
      </c>
      <c r="B691" s="69">
        <v>1184</v>
      </c>
      <c r="C691" s="70" t="s">
        <v>722</v>
      </c>
      <c r="D691" s="3" t="e">
        <f>VLOOKUP(A691,武将获取途径!$A:$D,4,0)</f>
        <v>#N/A</v>
      </c>
    </row>
    <row r="692" spans="1:4" ht="15" x14ac:dyDescent="0.15">
      <c r="A692" s="69" t="s">
        <v>726</v>
      </c>
      <c r="B692" s="69">
        <v>1179</v>
      </c>
      <c r="C692" s="70" t="s">
        <v>722</v>
      </c>
      <c r="D692" s="3" t="e">
        <f>VLOOKUP(A692,武将获取途径!$A:$D,4,0)</f>
        <v>#N/A</v>
      </c>
    </row>
    <row r="693" spans="1:4" ht="15" x14ac:dyDescent="0.15">
      <c r="A693" s="69" t="s">
        <v>727</v>
      </c>
      <c r="B693" s="69">
        <v>1178</v>
      </c>
      <c r="C693" s="70" t="s">
        <v>722</v>
      </c>
      <c r="D693" s="3" t="e">
        <f>VLOOKUP(A693,武将获取途径!$A:$D,4,0)</f>
        <v>#N/A</v>
      </c>
    </row>
    <row r="694" spans="1:4" ht="15" x14ac:dyDescent="0.15">
      <c r="A694" s="69" t="s">
        <v>728</v>
      </c>
      <c r="B694" s="69">
        <v>1177</v>
      </c>
      <c r="C694" s="70" t="s">
        <v>722</v>
      </c>
      <c r="D694" s="3" t="e">
        <f>VLOOKUP(A694,武将获取途径!$A:$D,4,0)</f>
        <v>#N/A</v>
      </c>
    </row>
    <row r="695" spans="1:4" ht="15" x14ac:dyDescent="0.15">
      <c r="A695" s="69" t="s">
        <v>729</v>
      </c>
      <c r="B695" s="69">
        <v>1174</v>
      </c>
      <c r="C695" s="70" t="s">
        <v>722</v>
      </c>
      <c r="D695" s="3" t="e">
        <f>VLOOKUP(A695,武将获取途径!$A:$D,4,0)</f>
        <v>#N/A</v>
      </c>
    </row>
    <row r="696" spans="1:4" ht="15" x14ac:dyDescent="0.15">
      <c r="A696" s="69" t="s">
        <v>730</v>
      </c>
      <c r="B696" s="69">
        <v>1167</v>
      </c>
      <c r="C696" s="70" t="s">
        <v>722</v>
      </c>
      <c r="D696" s="3" t="e">
        <f>VLOOKUP(A696,武将获取途径!$A:$D,4,0)</f>
        <v>#N/A</v>
      </c>
    </row>
    <row r="697" spans="1:4" ht="15" x14ac:dyDescent="0.15">
      <c r="A697" s="69" t="s">
        <v>731</v>
      </c>
      <c r="B697" s="69">
        <v>1161</v>
      </c>
      <c r="C697" s="70" t="s">
        <v>722</v>
      </c>
      <c r="D697" s="3" t="e">
        <f>VLOOKUP(A697,武将获取途径!$A:$D,4,0)</f>
        <v>#N/A</v>
      </c>
    </row>
    <row r="698" spans="1:4" ht="15" x14ac:dyDescent="0.15">
      <c r="A698" s="69" t="s">
        <v>732</v>
      </c>
      <c r="B698" s="69">
        <v>1160</v>
      </c>
      <c r="C698" s="70" t="s">
        <v>722</v>
      </c>
      <c r="D698" s="3" t="e">
        <f>VLOOKUP(A698,武将获取途径!$A:$D,4,0)</f>
        <v>#N/A</v>
      </c>
    </row>
    <row r="699" spans="1:4" ht="15" x14ac:dyDescent="0.15">
      <c r="A699" s="69" t="s">
        <v>733</v>
      </c>
      <c r="B699" s="69">
        <v>1151</v>
      </c>
      <c r="C699" s="70" t="s">
        <v>722</v>
      </c>
      <c r="D699" s="3" t="e">
        <f>VLOOKUP(A699,武将获取途径!$A:$D,4,0)</f>
        <v>#N/A</v>
      </c>
    </row>
    <row r="700" spans="1:4" ht="15" x14ac:dyDescent="0.15">
      <c r="A700" s="69" t="s">
        <v>734</v>
      </c>
      <c r="B700" s="69">
        <v>1128</v>
      </c>
      <c r="C700" s="70" t="s">
        <v>722</v>
      </c>
      <c r="D700" s="3" t="e">
        <f>VLOOKUP(A700,武将获取途径!$A:$D,4,0)</f>
        <v>#N/A</v>
      </c>
    </row>
    <row r="701" spans="1:4" ht="15" x14ac:dyDescent="0.15">
      <c r="A701" s="69" t="s">
        <v>735</v>
      </c>
      <c r="B701" s="69">
        <v>1090</v>
      </c>
      <c r="C701" s="70" t="s">
        <v>722</v>
      </c>
      <c r="D701" s="3" t="e">
        <f>VLOOKUP(A701,武将获取途径!$A:$D,4,0)</f>
        <v>#N/A</v>
      </c>
    </row>
    <row r="702" spans="1:4" ht="15" x14ac:dyDescent="0.15">
      <c r="A702" s="69" t="s">
        <v>736</v>
      </c>
      <c r="B702" s="69">
        <v>1083</v>
      </c>
      <c r="C702" s="70" t="s">
        <v>722</v>
      </c>
      <c r="D702" s="3" t="e">
        <f>VLOOKUP(A702,武将获取途径!$A:$D,4,0)</f>
        <v>#N/A</v>
      </c>
    </row>
    <row r="703" spans="1:4" ht="15" x14ac:dyDescent="0.15">
      <c r="A703" s="69" t="s">
        <v>737</v>
      </c>
      <c r="B703" s="69">
        <v>1073</v>
      </c>
      <c r="C703" s="70" t="s">
        <v>722</v>
      </c>
      <c r="D703" s="3" t="e">
        <f>VLOOKUP(A703,武将获取途径!$A:$D,4,0)</f>
        <v>#N/A</v>
      </c>
    </row>
    <row r="704" spans="1:4" ht="15" x14ac:dyDescent="0.15">
      <c r="A704" s="69" t="s">
        <v>738</v>
      </c>
      <c r="B704" s="69">
        <v>1061</v>
      </c>
      <c r="C704" s="70" t="s">
        <v>722</v>
      </c>
      <c r="D704" s="3" t="e">
        <f>VLOOKUP(A704,武将获取途径!$A:$D,4,0)</f>
        <v>#N/A</v>
      </c>
    </row>
    <row r="705" spans="1:7" ht="15" x14ac:dyDescent="0.15">
      <c r="A705" s="69" t="s">
        <v>739</v>
      </c>
      <c r="B705" s="69">
        <v>1038</v>
      </c>
      <c r="C705" s="70" t="s">
        <v>722</v>
      </c>
      <c r="D705" s="3" t="e">
        <f>VLOOKUP(A705,武将获取途径!$A:$D,4,0)</f>
        <v>#N/A</v>
      </c>
    </row>
    <row r="706" spans="1:7" ht="15" x14ac:dyDescent="0.15">
      <c r="A706" s="69" t="s">
        <v>740</v>
      </c>
      <c r="B706" s="69">
        <v>1018</v>
      </c>
      <c r="C706" s="70" t="s">
        <v>722</v>
      </c>
      <c r="D706" s="3" t="e">
        <f>VLOOKUP(A706,武将获取途径!$A:$D,4,0)</f>
        <v>#N/A</v>
      </c>
    </row>
    <row r="707" spans="1:7" ht="15" x14ac:dyDescent="0.15">
      <c r="A707" s="69" t="s">
        <v>741</v>
      </c>
      <c r="B707" s="69">
        <v>1000</v>
      </c>
      <c r="C707" s="70" t="s">
        <v>722</v>
      </c>
      <c r="D707" s="3" t="e">
        <f>VLOOKUP(A707,武将获取途径!$A:$D,4,0)</f>
        <v>#N/A</v>
      </c>
    </row>
    <row r="708" spans="1:7" ht="15" x14ac:dyDescent="0.15">
      <c r="A708" s="69" t="s">
        <v>742</v>
      </c>
      <c r="B708" s="69">
        <v>1000</v>
      </c>
      <c r="C708" s="70" t="s">
        <v>722</v>
      </c>
      <c r="D708" s="3" t="e">
        <f>VLOOKUP(A708,武将获取途径!$A:$D,4,0)</f>
        <v>#N/A</v>
      </c>
    </row>
    <row r="709" spans="1:7" ht="15" x14ac:dyDescent="0.15">
      <c r="A709" s="69" t="s">
        <v>743</v>
      </c>
      <c r="B709" s="69">
        <v>1000</v>
      </c>
      <c r="C709" s="70" t="s">
        <v>722</v>
      </c>
      <c r="D709" s="3" t="e">
        <f>VLOOKUP(A709,武将获取途径!$A:$D,4,0)</f>
        <v>#N/A</v>
      </c>
    </row>
    <row r="710" spans="1:7" ht="15" x14ac:dyDescent="0.15">
      <c r="A710" s="69" t="s">
        <v>744</v>
      </c>
      <c r="B710" s="69">
        <v>1000</v>
      </c>
      <c r="C710" s="70" t="s">
        <v>722</v>
      </c>
      <c r="D710" s="3" t="e">
        <f>VLOOKUP(A710,武将获取途径!$A:$D,4,0)</f>
        <v>#N/A</v>
      </c>
    </row>
    <row r="711" spans="1:7" ht="15" x14ac:dyDescent="0.15">
      <c r="A711" s="69" t="s">
        <v>745</v>
      </c>
      <c r="B711" s="69">
        <v>1000</v>
      </c>
      <c r="C711" s="70" t="s">
        <v>722</v>
      </c>
      <c r="D711" s="3" t="e">
        <f>VLOOKUP(A711,武将获取途径!$A:$D,4,0)</f>
        <v>#N/A</v>
      </c>
    </row>
    <row r="712" spans="1:7" ht="15" x14ac:dyDescent="0.15">
      <c r="A712" s="69" t="s">
        <v>746</v>
      </c>
      <c r="B712" s="69">
        <v>1000</v>
      </c>
      <c r="C712" s="70" t="s">
        <v>722</v>
      </c>
      <c r="D712" s="3" t="e">
        <f>VLOOKUP(A712,武将获取途径!$A:$D,4,0)</f>
        <v>#N/A</v>
      </c>
    </row>
    <row r="713" spans="1:7" ht="15" x14ac:dyDescent="0.15">
      <c r="A713" s="69" t="s">
        <v>747</v>
      </c>
      <c r="B713" s="69">
        <v>1000</v>
      </c>
      <c r="C713" s="70" t="s">
        <v>722</v>
      </c>
      <c r="D713" s="3" t="e">
        <f>VLOOKUP(A713,武将获取途径!$A:$D,4,0)</f>
        <v>#N/A</v>
      </c>
    </row>
    <row r="714" spans="1:7" ht="15" x14ac:dyDescent="0.15">
      <c r="A714" s="69" t="s">
        <v>748</v>
      </c>
      <c r="B714" s="69">
        <v>1000</v>
      </c>
      <c r="C714" s="70" t="s">
        <v>722</v>
      </c>
      <c r="D714" s="3" t="e">
        <f>VLOOKUP(A714,武将获取途径!$A:$D,4,0)</f>
        <v>#N/A</v>
      </c>
    </row>
    <row r="715" spans="1:7" ht="15" x14ac:dyDescent="0.15">
      <c r="A715" s="71" t="s">
        <v>749</v>
      </c>
      <c r="B715" s="69">
        <v>1000</v>
      </c>
      <c r="C715" s="70" t="s">
        <v>722</v>
      </c>
      <c r="D715" s="3" t="e">
        <f>VLOOKUP(A715,武将获取途径!$A:$D,4,0)</f>
        <v>#N/A</v>
      </c>
    </row>
    <row r="716" spans="1:7" ht="15" x14ac:dyDescent="0.15">
      <c r="A716" s="69" t="s">
        <v>750</v>
      </c>
      <c r="B716" s="69">
        <v>1000</v>
      </c>
      <c r="C716" s="70" t="s">
        <v>722</v>
      </c>
      <c r="D716" s="3" t="str">
        <f>VLOOKUP(A716,武将获取途径!$A:$D,4,0)</f>
        <v>充值奖励</v>
      </c>
      <c r="G716"/>
    </row>
    <row r="717" spans="1:7" ht="15" x14ac:dyDescent="0.15">
      <c r="A717" s="69" t="s">
        <v>751</v>
      </c>
      <c r="B717" s="69">
        <v>998</v>
      </c>
      <c r="C717" s="70" t="s">
        <v>722</v>
      </c>
      <c r="D717" s="3" t="e">
        <f>VLOOKUP(A717,武将获取途径!$A:$D,4,0)</f>
        <v>#N/A</v>
      </c>
    </row>
    <row r="718" spans="1:7" ht="14.25" x14ac:dyDescent="0.15">
      <c r="A718" s="70"/>
      <c r="B718" s="70"/>
      <c r="C718" s="70"/>
      <c r="G718"/>
    </row>
    <row r="719" spans="1:7" ht="15" x14ac:dyDescent="0.15">
      <c r="A719" s="10" t="s">
        <v>752</v>
      </c>
      <c r="B719" s="10">
        <v>2400</v>
      </c>
      <c r="C719" s="11" t="s">
        <v>71</v>
      </c>
      <c r="D719" s="3" t="e">
        <f>VLOOKUP(A719,武将获取途径!$A:$D,4,0)</f>
        <v>#N/A</v>
      </c>
    </row>
    <row r="720" spans="1:7" ht="15" x14ac:dyDescent="0.15">
      <c r="A720" s="10" t="s">
        <v>753</v>
      </c>
      <c r="B720" s="10">
        <v>2400</v>
      </c>
      <c r="C720" s="11" t="s">
        <v>71</v>
      </c>
      <c r="D720" s="3" t="e">
        <f>VLOOKUP(A720,武将获取途径!$A:$D,4,0)</f>
        <v>#N/A</v>
      </c>
    </row>
    <row r="721" spans="1:4" ht="15" x14ac:dyDescent="0.15">
      <c r="A721" s="10" t="s">
        <v>754</v>
      </c>
      <c r="B721" s="10">
        <v>2400</v>
      </c>
      <c r="C721" s="11" t="s">
        <v>71</v>
      </c>
      <c r="D721" s="3" t="e">
        <f>VLOOKUP(A721,武将获取途径!$A:$D,4,0)</f>
        <v>#N/A</v>
      </c>
    </row>
    <row r="722" spans="1:4" ht="15" x14ac:dyDescent="0.15">
      <c r="A722" s="10" t="s">
        <v>755</v>
      </c>
      <c r="B722" s="10">
        <v>2400</v>
      </c>
      <c r="C722" s="11" t="s">
        <v>71</v>
      </c>
      <c r="D722" s="3" t="e">
        <f>VLOOKUP(A722,武将获取途径!$A:$D,4,0)</f>
        <v>#N/A</v>
      </c>
    </row>
    <row r="723" spans="1:4" ht="15" x14ac:dyDescent="0.15">
      <c r="A723" s="6" t="s">
        <v>756</v>
      </c>
      <c r="B723" s="6">
        <v>2300</v>
      </c>
      <c r="C723" s="7" t="s">
        <v>121</v>
      </c>
      <c r="D723" s="3" t="e">
        <f>VLOOKUP(A723,武将获取途径!$A:$D,4,0)</f>
        <v>#N/A</v>
      </c>
    </row>
    <row r="724" spans="1:4" ht="15" x14ac:dyDescent="0.15">
      <c r="A724" s="6" t="s">
        <v>757</v>
      </c>
      <c r="B724" s="6">
        <v>2300</v>
      </c>
      <c r="C724" s="7" t="s">
        <v>121</v>
      </c>
      <c r="D724" s="3" t="e">
        <f>VLOOKUP(A724,武将获取途径!$A:$D,4,0)</f>
        <v>#N/A</v>
      </c>
    </row>
    <row r="725" spans="1:4" ht="15" x14ac:dyDescent="0.15">
      <c r="A725" s="6" t="s">
        <v>758</v>
      </c>
      <c r="B725" s="6">
        <v>2300</v>
      </c>
      <c r="C725" s="7" t="s">
        <v>121</v>
      </c>
      <c r="D725" s="3" t="e">
        <f>VLOOKUP(A725,武将获取途径!$A:$D,4,0)</f>
        <v>#N/A</v>
      </c>
    </row>
    <row r="726" spans="1:4" ht="15" x14ac:dyDescent="0.15">
      <c r="A726" s="6" t="s">
        <v>759</v>
      </c>
      <c r="B726" s="6">
        <v>2300</v>
      </c>
      <c r="C726" s="7" t="s">
        <v>121</v>
      </c>
      <c r="D726" s="3" t="e">
        <f>VLOOKUP(A726,武将获取途径!$A:$D,4,0)</f>
        <v>#N/A</v>
      </c>
    </row>
    <row r="727" spans="1:4" ht="15" x14ac:dyDescent="0.15">
      <c r="A727" s="6" t="s">
        <v>760</v>
      </c>
      <c r="B727" s="6">
        <v>2300</v>
      </c>
      <c r="C727" s="7" t="s">
        <v>121</v>
      </c>
      <c r="D727" s="3" t="e">
        <f>VLOOKUP(A727,武将获取途径!$A:$D,4,0)</f>
        <v>#N/A</v>
      </c>
    </row>
    <row r="728" spans="1:4" ht="15" x14ac:dyDescent="0.15">
      <c r="A728" s="1" t="s">
        <v>761</v>
      </c>
      <c r="B728" s="1">
        <v>2000</v>
      </c>
      <c r="C728" s="2" t="s">
        <v>182</v>
      </c>
      <c r="D728" s="3" t="e">
        <f>VLOOKUP(A728,武将获取途径!$A:$D,4,0)</f>
        <v>#N/A</v>
      </c>
    </row>
    <row r="729" spans="1:4" ht="15" x14ac:dyDescent="0.15">
      <c r="A729" s="1" t="s">
        <v>762</v>
      </c>
      <c r="B729" s="1">
        <v>2000</v>
      </c>
      <c r="C729" s="2" t="s">
        <v>182</v>
      </c>
      <c r="D729" s="3" t="e">
        <f>VLOOKUP(A729,武将获取途径!$A:$D,4,0)</f>
        <v>#N/A</v>
      </c>
    </row>
    <row r="730" spans="1:4" ht="15" x14ac:dyDescent="0.15">
      <c r="A730" s="1" t="s">
        <v>763</v>
      </c>
      <c r="B730" s="1">
        <v>2000</v>
      </c>
      <c r="C730" s="2" t="s">
        <v>182</v>
      </c>
      <c r="D730" s="3" t="e">
        <f>VLOOKUP(A730,武将获取途径!$A:$D,4,0)</f>
        <v>#N/A</v>
      </c>
    </row>
    <row r="731" spans="1:4" ht="15" x14ac:dyDescent="0.15">
      <c r="A731" s="1" t="s">
        <v>764</v>
      </c>
      <c r="B731" s="1">
        <v>2000</v>
      </c>
      <c r="C731" s="2" t="s">
        <v>182</v>
      </c>
      <c r="D731" s="3" t="e">
        <f>VLOOKUP(A731,武将获取途径!$A:$D,4,0)</f>
        <v>#N/A</v>
      </c>
    </row>
    <row r="732" spans="1:4" ht="15" x14ac:dyDescent="0.15">
      <c r="A732" s="1" t="s">
        <v>765</v>
      </c>
      <c r="B732" s="1">
        <v>2000</v>
      </c>
      <c r="C732" s="2" t="s">
        <v>182</v>
      </c>
      <c r="D732" s="3" t="e">
        <f>VLOOKUP(A732,武将获取途径!$A:$D,4,0)</f>
        <v>#N/A</v>
      </c>
    </row>
    <row r="733" spans="1:4" ht="15" x14ac:dyDescent="0.15">
      <c r="A733" s="1" t="s">
        <v>766</v>
      </c>
      <c r="B733" s="1">
        <v>2000</v>
      </c>
      <c r="C733" s="2" t="s">
        <v>182</v>
      </c>
      <c r="D733" s="3" t="e">
        <f>VLOOKUP(A733,武将获取途径!$A:$D,4,0)</f>
        <v>#N/A</v>
      </c>
    </row>
    <row r="734" spans="1:4" ht="15" x14ac:dyDescent="0.15">
      <c r="A734" s="1" t="s">
        <v>767</v>
      </c>
      <c r="B734" s="1">
        <v>2000</v>
      </c>
      <c r="C734" s="2" t="s">
        <v>182</v>
      </c>
      <c r="D734" s="3" t="e">
        <f>VLOOKUP(A734,武将获取途径!$A:$D,4,0)</f>
        <v>#N/A</v>
      </c>
    </row>
    <row r="735" spans="1:4" ht="15" x14ac:dyDescent="0.15">
      <c r="A735" s="72" t="s">
        <v>768</v>
      </c>
      <c r="B735" s="62">
        <v>3000</v>
      </c>
      <c r="C735" s="63" t="s">
        <v>7</v>
      </c>
      <c r="D735" s="3" t="e">
        <f>VLOOKUP(A735,武将获取途径!$A:$D,4,0)</f>
        <v>#N/A</v>
      </c>
    </row>
  </sheetData>
  <autoFilter ref="A1:G735" xr:uid="{00000000-0009-0000-0000-000000000000}"/>
  <phoneticPr fontId="21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09"/>
  <sheetViews>
    <sheetView tabSelected="1" workbookViewId="0">
      <selection activeCell="G10" sqref="G10"/>
    </sheetView>
  </sheetViews>
  <sheetFormatPr defaultColWidth="9" defaultRowHeight="13.5" x14ac:dyDescent="0.15"/>
  <cols>
    <col min="1" max="1" width="14.875" style="28" customWidth="1"/>
    <col min="2" max="2" width="9.625" style="28" customWidth="1"/>
    <col min="3" max="3" width="12.5" style="28" customWidth="1"/>
  </cols>
  <sheetData>
    <row r="1" spans="1:4" ht="16.5" x14ac:dyDescent="0.15">
      <c r="A1" s="55" t="s">
        <v>769</v>
      </c>
      <c r="B1" s="55" t="s">
        <v>770</v>
      </c>
      <c r="C1" s="27" t="s">
        <v>771</v>
      </c>
      <c r="D1" s="27" t="s">
        <v>772</v>
      </c>
    </row>
    <row r="2" spans="1:4" ht="16.5" x14ac:dyDescent="0.15">
      <c r="A2" s="56" t="s">
        <v>392</v>
      </c>
      <c r="B2" s="56">
        <v>202</v>
      </c>
      <c r="C2" s="56">
        <v>5002</v>
      </c>
      <c r="D2" t="str">
        <f>VLOOKUP(C2,Sheet5!$A$1:$B$22,2,0)</f>
        <v>神将任务</v>
      </c>
    </row>
    <row r="3" spans="1:4" ht="16.5" x14ac:dyDescent="0.15">
      <c r="A3" s="56" t="s">
        <v>588</v>
      </c>
      <c r="B3" s="56">
        <v>203</v>
      </c>
      <c r="C3" s="56">
        <v>5002</v>
      </c>
      <c r="D3" t="str">
        <f>VLOOKUP(C3,Sheet5!$A$1:$B$22,2,0)</f>
        <v>神将任务</v>
      </c>
    </row>
    <row r="4" spans="1:4" ht="16.5" x14ac:dyDescent="0.15">
      <c r="A4" s="56" t="s">
        <v>351</v>
      </c>
      <c r="B4" s="56">
        <v>204</v>
      </c>
      <c r="C4" s="56">
        <v>5002</v>
      </c>
      <c r="D4" t="str">
        <f>VLOOKUP(C4,Sheet5!$A$1:$B$22,2,0)</f>
        <v>神将任务</v>
      </c>
    </row>
    <row r="5" spans="1:4" ht="16.5" x14ac:dyDescent="0.15">
      <c r="A5" s="56" t="s">
        <v>712</v>
      </c>
      <c r="B5" s="56">
        <v>205</v>
      </c>
      <c r="C5" s="56">
        <v>5002</v>
      </c>
      <c r="D5" t="str">
        <f>VLOOKUP(C5,Sheet5!$A$1:$B$22,2,0)</f>
        <v>神将任务</v>
      </c>
    </row>
    <row r="6" spans="1:4" ht="16.5" x14ac:dyDescent="0.15">
      <c r="A6" s="56" t="s">
        <v>685</v>
      </c>
      <c r="B6" s="56">
        <v>206</v>
      </c>
      <c r="C6" s="56">
        <v>5002</v>
      </c>
      <c r="D6" t="str">
        <f>VLOOKUP(C6,Sheet5!$A$1:$B$22,2,0)</f>
        <v>神将任务</v>
      </c>
    </row>
    <row r="7" spans="1:4" ht="16.5" x14ac:dyDescent="0.15">
      <c r="A7" s="56" t="s">
        <v>354</v>
      </c>
      <c r="B7" s="56">
        <v>207</v>
      </c>
      <c r="C7" s="56">
        <v>5002</v>
      </c>
      <c r="D7" t="str">
        <f>VLOOKUP(C7,Sheet5!$A$1:$B$22,2,0)</f>
        <v>神将任务</v>
      </c>
    </row>
    <row r="8" spans="1:4" ht="16.5" x14ac:dyDescent="0.15">
      <c r="A8" s="56" t="s">
        <v>498</v>
      </c>
      <c r="B8" s="56">
        <v>208</v>
      </c>
      <c r="C8" s="56">
        <v>5002</v>
      </c>
      <c r="D8" t="str">
        <f>VLOOKUP(C8,Sheet5!$A$1:$B$22,2,0)</f>
        <v>神将任务</v>
      </c>
    </row>
    <row r="9" spans="1:4" ht="16.5" x14ac:dyDescent="0.15">
      <c r="A9" s="56" t="s">
        <v>610</v>
      </c>
      <c r="B9" s="56">
        <v>209</v>
      </c>
      <c r="C9" s="56">
        <v>5002</v>
      </c>
      <c r="D9" t="str">
        <f>VLOOKUP(C9,Sheet5!$A$1:$B$22,2,0)</f>
        <v>神将任务</v>
      </c>
    </row>
    <row r="10" spans="1:4" ht="16.5" x14ac:dyDescent="0.15">
      <c r="A10" s="56" t="s">
        <v>272</v>
      </c>
      <c r="B10" s="56">
        <v>210</v>
      </c>
      <c r="C10" s="56">
        <v>5002</v>
      </c>
      <c r="D10" t="str">
        <f>VLOOKUP(C10,Sheet5!$A$1:$B$22,2,0)</f>
        <v>神将任务</v>
      </c>
    </row>
    <row r="11" spans="1:4" ht="16.5" x14ac:dyDescent="0.15">
      <c r="A11" s="56" t="s">
        <v>596</v>
      </c>
      <c r="B11" s="56">
        <v>211</v>
      </c>
      <c r="C11" s="56">
        <v>5002</v>
      </c>
      <c r="D11" t="str">
        <f>VLOOKUP(C11,Sheet5!$A$1:$B$22,2,0)</f>
        <v>神将任务</v>
      </c>
    </row>
    <row r="12" spans="1:4" ht="16.5" x14ac:dyDescent="0.15">
      <c r="A12" s="56" t="s">
        <v>216</v>
      </c>
      <c r="B12" s="56">
        <v>212</v>
      </c>
      <c r="C12" s="56">
        <v>5002</v>
      </c>
      <c r="D12" t="str">
        <f>VLOOKUP(C12,Sheet5!$A$1:$B$22,2,0)</f>
        <v>神将任务</v>
      </c>
    </row>
    <row r="13" spans="1:4" ht="16.5" x14ac:dyDescent="0.15">
      <c r="A13" s="56" t="s">
        <v>23</v>
      </c>
      <c r="B13" s="56">
        <v>214</v>
      </c>
      <c r="C13" s="56">
        <v>1101</v>
      </c>
      <c r="D13" t="str">
        <f>VLOOKUP(C13,Sheet5!$A$1:$B$22,2,0)</f>
        <v>宝玉兑换</v>
      </c>
    </row>
    <row r="14" spans="1:4" ht="16.5" x14ac:dyDescent="0.15">
      <c r="A14" s="56" t="s">
        <v>22</v>
      </c>
      <c r="B14" s="56">
        <v>215</v>
      </c>
      <c r="C14" s="56">
        <v>1101</v>
      </c>
      <c r="D14" t="str">
        <f>VLOOKUP(C14,Sheet5!$A$1:$B$22,2,0)</f>
        <v>宝玉兑换</v>
      </c>
    </row>
    <row r="15" spans="1:4" ht="16.5" x14ac:dyDescent="0.15">
      <c r="A15" s="56" t="s">
        <v>112</v>
      </c>
      <c r="B15" s="56">
        <v>216</v>
      </c>
      <c r="C15" s="56">
        <v>1101</v>
      </c>
      <c r="D15" t="str">
        <f>VLOOKUP(C15,Sheet5!$A$1:$B$22,2,0)</f>
        <v>宝玉兑换</v>
      </c>
    </row>
    <row r="16" spans="1:4" ht="16.5" x14ac:dyDescent="0.15">
      <c r="A16" s="56" t="s">
        <v>135</v>
      </c>
      <c r="B16" s="56">
        <v>217</v>
      </c>
      <c r="C16" s="56">
        <v>1101</v>
      </c>
      <c r="D16" t="str">
        <f>VLOOKUP(C16,Sheet5!$A$1:$B$22,2,0)</f>
        <v>宝玉兑换</v>
      </c>
    </row>
    <row r="17" spans="1:4" ht="16.5" x14ac:dyDescent="0.15">
      <c r="A17" s="56" t="s">
        <v>6</v>
      </c>
      <c r="B17" s="56">
        <v>230</v>
      </c>
      <c r="C17" s="56">
        <v>1003</v>
      </c>
      <c r="D17" t="str">
        <f>VLOOKUP(C17,Sheet5!$A$1:$B$22,2,0)</f>
        <v>珍宝</v>
      </c>
    </row>
    <row r="18" spans="1:4" ht="16.5" x14ac:dyDescent="0.15">
      <c r="A18" s="56" t="s">
        <v>551</v>
      </c>
      <c r="B18" s="56">
        <v>414</v>
      </c>
      <c r="C18" s="56">
        <v>4001</v>
      </c>
      <c r="D18" t="str">
        <f>VLOOKUP(C18,Sheet5!$A$1:$B$22,2,0)</f>
        <v>新人特惠</v>
      </c>
    </row>
    <row r="19" spans="1:4" ht="16.5" x14ac:dyDescent="0.15">
      <c r="A19" s="56" t="s">
        <v>503</v>
      </c>
      <c r="B19" s="56">
        <v>504</v>
      </c>
      <c r="C19" s="56">
        <v>2003</v>
      </c>
      <c r="D19" t="str">
        <f>VLOOKUP(C19,Sheet5!$A$1:$B$22,2,0)</f>
        <v>累充奖励</v>
      </c>
    </row>
    <row r="20" spans="1:4" ht="16.5" x14ac:dyDescent="0.15">
      <c r="A20" s="56" t="s">
        <v>645</v>
      </c>
      <c r="B20" s="56">
        <v>511</v>
      </c>
      <c r="C20" s="56">
        <v>5003</v>
      </c>
      <c r="D20" t="str">
        <f>VLOOKUP(C20,Sheet5!$A$1:$B$22,2,0)</f>
        <v>移动奖励</v>
      </c>
    </row>
    <row r="21" spans="1:4" ht="16.5" x14ac:dyDescent="0.15">
      <c r="A21" s="56" t="s">
        <v>523</v>
      </c>
      <c r="B21" s="56">
        <v>512</v>
      </c>
      <c r="C21" s="56">
        <v>2004</v>
      </c>
      <c r="D21" t="str">
        <f>VLOOKUP(C21,Sheet5!$A$1:$B$22,2,0)</f>
        <v>连连看</v>
      </c>
    </row>
    <row r="22" spans="1:4" ht="16.5" x14ac:dyDescent="0.15">
      <c r="A22" s="56" t="s">
        <v>629</v>
      </c>
      <c r="B22" s="56">
        <v>517</v>
      </c>
      <c r="C22" s="56">
        <v>2004</v>
      </c>
      <c r="D22" t="str">
        <f>VLOOKUP(C22,Sheet5!$A$1:$B$22,2,0)</f>
        <v>连连看</v>
      </c>
    </row>
    <row r="23" spans="1:4" ht="16.5" x14ac:dyDescent="0.15">
      <c r="A23" s="56" t="s">
        <v>773</v>
      </c>
      <c r="B23" s="56">
        <v>519</v>
      </c>
      <c r="C23" s="56">
        <v>2004</v>
      </c>
      <c r="D23" t="str">
        <f>VLOOKUP(C23,Sheet5!$A$1:$B$22,2,0)</f>
        <v>连连看</v>
      </c>
    </row>
    <row r="24" spans="1:4" ht="16.5" x14ac:dyDescent="0.15">
      <c r="A24" s="56" t="s">
        <v>584</v>
      </c>
      <c r="B24" s="56">
        <v>523</v>
      </c>
      <c r="C24" s="56">
        <v>5003</v>
      </c>
      <c r="D24" t="str">
        <f>VLOOKUP(C24,Sheet5!$A$1:$B$22,2,0)</f>
        <v>移动奖励</v>
      </c>
    </row>
    <row r="25" spans="1:4" ht="16.5" x14ac:dyDescent="0.15">
      <c r="A25" s="56" t="s">
        <v>774</v>
      </c>
      <c r="B25" s="56">
        <v>524</v>
      </c>
      <c r="C25" s="56">
        <v>2000</v>
      </c>
      <c r="D25" t="str">
        <f>VLOOKUP(C25,Sheet5!$A$1:$B$22,2,0)</f>
        <v>首充</v>
      </c>
    </row>
    <row r="26" spans="1:4" ht="16.5" x14ac:dyDescent="0.15">
      <c r="A26" s="56" t="s">
        <v>775</v>
      </c>
      <c r="B26" s="56">
        <v>532</v>
      </c>
      <c r="C26" s="56">
        <v>2002</v>
      </c>
      <c r="D26" t="str">
        <f>VLOOKUP(C26,Sheet5!$A$1:$B$22,2,0)</f>
        <v>充值奖励</v>
      </c>
    </row>
    <row r="27" spans="1:4" ht="16.5" x14ac:dyDescent="0.15">
      <c r="A27" s="56" t="s">
        <v>399</v>
      </c>
      <c r="B27" s="56">
        <v>536</v>
      </c>
      <c r="C27" s="56">
        <v>4001</v>
      </c>
      <c r="D27" t="str">
        <f>VLOOKUP(C27,Sheet5!$A$1:$B$22,2,0)</f>
        <v>新人特惠</v>
      </c>
    </row>
    <row r="28" spans="1:4" ht="16.5" x14ac:dyDescent="0.15">
      <c r="A28" s="56" t="s">
        <v>233</v>
      </c>
      <c r="B28" s="56">
        <v>543</v>
      </c>
      <c r="C28" s="56">
        <v>2</v>
      </c>
      <c r="D28" t="str">
        <f>VLOOKUP(C28,Sheet5!$A$1:$B$22,2,0)</f>
        <v>将星招募</v>
      </c>
    </row>
    <row r="29" spans="1:4" ht="16.5" x14ac:dyDescent="0.15">
      <c r="A29" s="56" t="s">
        <v>193</v>
      </c>
      <c r="B29" s="56">
        <v>546</v>
      </c>
      <c r="C29" s="56">
        <v>2</v>
      </c>
      <c r="D29" t="str">
        <f>VLOOKUP(C29,Sheet5!$A$1:$B$22,2,0)</f>
        <v>将星招募</v>
      </c>
    </row>
    <row r="30" spans="1:4" ht="16.5" x14ac:dyDescent="0.15">
      <c r="A30" s="56" t="s">
        <v>173</v>
      </c>
      <c r="B30" s="56">
        <v>549</v>
      </c>
      <c r="C30" s="56">
        <v>2</v>
      </c>
      <c r="D30" t="str">
        <f>VLOOKUP(C30,Sheet5!$A$1:$B$22,2,0)</f>
        <v>将星招募</v>
      </c>
    </row>
    <row r="31" spans="1:4" ht="16.5" x14ac:dyDescent="0.15">
      <c r="A31" s="56" t="s">
        <v>142</v>
      </c>
      <c r="B31" s="56">
        <v>550</v>
      </c>
      <c r="C31" s="56">
        <v>1004</v>
      </c>
      <c r="D31" t="str">
        <f>VLOOKUP(C31,Sheet5!$A$1:$B$22,2,0)</f>
        <v>祈福</v>
      </c>
    </row>
    <row r="32" spans="1:4" ht="16.5" x14ac:dyDescent="0.15">
      <c r="A32" s="56" t="s">
        <v>147</v>
      </c>
      <c r="B32" s="56">
        <v>551</v>
      </c>
      <c r="C32" s="56">
        <v>2</v>
      </c>
      <c r="D32" t="str">
        <f>VLOOKUP(C32,Sheet5!$A$1:$B$22,2,0)</f>
        <v>将星招募</v>
      </c>
    </row>
    <row r="33" spans="1:4" ht="16.5" x14ac:dyDescent="0.15">
      <c r="A33" s="56" t="s">
        <v>76</v>
      </c>
      <c r="B33" s="56">
        <v>555</v>
      </c>
      <c r="C33" s="56">
        <v>1004</v>
      </c>
      <c r="D33" t="str">
        <f>VLOOKUP(C33,Sheet5!$A$1:$B$22,2,0)</f>
        <v>祈福</v>
      </c>
    </row>
    <row r="34" spans="1:4" ht="16.5" x14ac:dyDescent="0.15">
      <c r="A34" s="56" t="s">
        <v>246</v>
      </c>
      <c r="B34" s="56">
        <v>557</v>
      </c>
      <c r="C34" s="56">
        <v>2</v>
      </c>
      <c r="D34" t="str">
        <f>VLOOKUP(C34,Sheet5!$A$1:$B$22,2,0)</f>
        <v>将星招募</v>
      </c>
    </row>
    <row r="35" spans="1:4" ht="16.5" x14ac:dyDescent="0.15">
      <c r="A35" s="56" t="s">
        <v>86</v>
      </c>
      <c r="B35" s="56">
        <v>559</v>
      </c>
      <c r="C35" s="56">
        <v>1004</v>
      </c>
      <c r="D35" t="str">
        <f>VLOOKUP(C35,Sheet5!$A$1:$B$22,2,0)</f>
        <v>祈福</v>
      </c>
    </row>
    <row r="36" spans="1:4" ht="16.5" x14ac:dyDescent="0.15">
      <c r="A36" s="56" t="s">
        <v>85</v>
      </c>
      <c r="B36" s="56">
        <v>560</v>
      </c>
      <c r="C36" s="56">
        <v>1004</v>
      </c>
      <c r="D36" t="str">
        <f>VLOOKUP(C36,Sheet5!$A$1:$B$22,2,0)</f>
        <v>祈福</v>
      </c>
    </row>
    <row r="37" spans="1:4" ht="16.5" x14ac:dyDescent="0.15">
      <c r="A37" s="56" t="s">
        <v>165</v>
      </c>
      <c r="B37" s="56">
        <v>564</v>
      </c>
      <c r="C37" s="56">
        <v>1004</v>
      </c>
      <c r="D37" t="str">
        <f>VLOOKUP(C37,Sheet5!$A$1:$B$22,2,0)</f>
        <v>祈福</v>
      </c>
    </row>
    <row r="38" spans="1:4" ht="16.5" x14ac:dyDescent="0.15">
      <c r="A38" s="56" t="s">
        <v>92</v>
      </c>
      <c r="B38" s="56">
        <v>566</v>
      </c>
      <c r="C38" s="56">
        <v>1004</v>
      </c>
      <c r="D38" t="str">
        <f>VLOOKUP(C38,Sheet5!$A$1:$B$22,2,0)</f>
        <v>祈福</v>
      </c>
    </row>
    <row r="39" spans="1:4" ht="16.5" x14ac:dyDescent="0.15">
      <c r="A39" s="56" t="s">
        <v>237</v>
      </c>
      <c r="B39" s="56">
        <v>567</v>
      </c>
      <c r="C39" s="56">
        <v>1004</v>
      </c>
      <c r="D39" t="str">
        <f>VLOOKUP(C39,Sheet5!$A$1:$B$22,2,0)</f>
        <v>祈福</v>
      </c>
    </row>
    <row r="40" spans="1:4" ht="16.5" x14ac:dyDescent="0.15">
      <c r="A40" s="56" t="s">
        <v>266</v>
      </c>
      <c r="B40" s="56">
        <v>600</v>
      </c>
      <c r="C40" s="56">
        <v>4001</v>
      </c>
      <c r="D40" t="str">
        <f>VLOOKUP(C40,Sheet5!$A$1:$B$22,2,0)</f>
        <v>新人特惠</v>
      </c>
    </row>
    <row r="41" spans="1:4" ht="16.5" x14ac:dyDescent="0.15">
      <c r="A41" s="56" t="s">
        <v>521</v>
      </c>
      <c r="B41" s="56">
        <v>601</v>
      </c>
      <c r="C41" s="56">
        <v>4001</v>
      </c>
      <c r="D41" t="str">
        <f>VLOOKUP(C41,Sheet5!$A$1:$B$22,2,0)</f>
        <v>新人特惠</v>
      </c>
    </row>
    <row r="42" spans="1:4" ht="16.5" x14ac:dyDescent="0.15">
      <c r="A42" s="56" t="s">
        <v>136</v>
      </c>
      <c r="B42" s="56">
        <v>610</v>
      </c>
      <c r="C42" s="56">
        <v>2</v>
      </c>
      <c r="D42" t="str">
        <f>VLOOKUP(C42,Sheet5!$A$1:$B$22,2,0)</f>
        <v>将星招募</v>
      </c>
    </row>
    <row r="43" spans="1:4" ht="16.5" x14ac:dyDescent="0.15">
      <c r="A43" s="56" t="s">
        <v>72</v>
      </c>
      <c r="B43" s="56">
        <v>804</v>
      </c>
      <c r="C43" s="56">
        <v>2002</v>
      </c>
      <c r="D43" t="str">
        <f>VLOOKUP(C43,Sheet5!$A$1:$B$22,2,0)</f>
        <v>充值奖励</v>
      </c>
    </row>
    <row r="44" spans="1:4" ht="16.5" x14ac:dyDescent="0.15">
      <c r="A44" s="56" t="s">
        <v>115</v>
      </c>
      <c r="B44" s="56">
        <v>805</v>
      </c>
      <c r="C44" s="56">
        <v>2</v>
      </c>
      <c r="D44" t="str">
        <f>VLOOKUP(C44,Sheet5!$A$1:$B$22,2,0)</f>
        <v>将星招募</v>
      </c>
    </row>
    <row r="45" spans="1:4" ht="16.5" x14ac:dyDescent="0.15">
      <c r="A45" s="56" t="s">
        <v>52</v>
      </c>
      <c r="B45" s="56">
        <v>806</v>
      </c>
      <c r="C45" s="56">
        <v>1001</v>
      </c>
      <c r="D45" t="str">
        <f>VLOOKUP(C45,Sheet5!$A$1:$B$22,2,0)</f>
        <v>纳贤</v>
      </c>
    </row>
    <row r="46" spans="1:4" ht="16.5" x14ac:dyDescent="0.15">
      <c r="A46" s="56" t="s">
        <v>368</v>
      </c>
      <c r="B46" s="56">
        <v>950</v>
      </c>
      <c r="C46" s="56">
        <v>3002</v>
      </c>
      <c r="D46" t="str">
        <f>VLOOKUP(C46,Sheet5!$A$1:$B$22,2,0)</f>
        <v>活跃</v>
      </c>
    </row>
    <row r="47" spans="1:4" ht="16.5" x14ac:dyDescent="0.15">
      <c r="A47" s="56" t="s">
        <v>515</v>
      </c>
      <c r="B47" s="56">
        <v>951</v>
      </c>
      <c r="C47" s="56">
        <v>3002</v>
      </c>
      <c r="D47" t="str">
        <f>VLOOKUP(C47,Sheet5!$A$1:$B$22,2,0)</f>
        <v>活跃</v>
      </c>
    </row>
    <row r="48" spans="1:4" ht="16.5" x14ac:dyDescent="0.15">
      <c r="A48" s="56" t="s">
        <v>497</v>
      </c>
      <c r="B48" s="56">
        <v>952</v>
      </c>
      <c r="C48" s="56">
        <v>3002</v>
      </c>
      <c r="D48" t="str">
        <f>VLOOKUP(C48,Sheet5!$A$1:$B$22,2,0)</f>
        <v>活跃</v>
      </c>
    </row>
    <row r="49" spans="1:4" ht="16.5" x14ac:dyDescent="0.15">
      <c r="A49" s="56" t="s">
        <v>361</v>
      </c>
      <c r="B49" s="56">
        <v>953</v>
      </c>
      <c r="C49" s="56">
        <v>3002</v>
      </c>
      <c r="D49" t="str">
        <f>VLOOKUP(C49,Sheet5!$A$1:$B$22,2,0)</f>
        <v>活跃</v>
      </c>
    </row>
    <row r="50" spans="1:4" ht="16.5" x14ac:dyDescent="0.15">
      <c r="A50" s="56" t="s">
        <v>219</v>
      </c>
      <c r="B50" s="56">
        <v>954</v>
      </c>
      <c r="C50" s="56">
        <v>3002</v>
      </c>
      <c r="D50" t="str">
        <f>VLOOKUP(C50,Sheet5!$A$1:$B$22,2,0)</f>
        <v>活跃</v>
      </c>
    </row>
    <row r="51" spans="1:4" ht="16.5" x14ac:dyDescent="0.15">
      <c r="A51" s="56" t="s">
        <v>537</v>
      </c>
      <c r="B51" s="56">
        <v>955</v>
      </c>
      <c r="C51" s="56">
        <v>3002</v>
      </c>
      <c r="D51" t="str">
        <f>VLOOKUP(C51,Sheet5!$A$1:$B$22,2,0)</f>
        <v>活跃</v>
      </c>
    </row>
    <row r="52" spans="1:4" ht="16.5" x14ac:dyDescent="0.15">
      <c r="A52" s="56" t="s">
        <v>114</v>
      </c>
      <c r="B52" s="56">
        <v>956</v>
      </c>
      <c r="C52" s="56">
        <v>3002</v>
      </c>
      <c r="D52" t="str">
        <f>VLOOKUP(C52,Sheet5!$A$1:$B$22,2,0)</f>
        <v>活跃</v>
      </c>
    </row>
    <row r="53" spans="1:4" ht="16.5" x14ac:dyDescent="0.15">
      <c r="A53" s="56" t="s">
        <v>244</v>
      </c>
      <c r="B53" s="56">
        <v>1004</v>
      </c>
      <c r="C53" s="56">
        <v>5007</v>
      </c>
      <c r="D53" t="str">
        <f>VLOOKUP(C53,Sheet5!$A$1:$B$22,2,0)</f>
        <v>商城礼包</v>
      </c>
    </row>
    <row r="54" spans="1:4" ht="16.5" x14ac:dyDescent="0.15">
      <c r="A54" s="56" t="s">
        <v>139</v>
      </c>
      <c r="B54" s="56">
        <v>1007</v>
      </c>
      <c r="C54" s="56">
        <v>2</v>
      </c>
      <c r="D54" t="str">
        <f>VLOOKUP(C54,Sheet5!$A$1:$B$22,2,0)</f>
        <v>将星招募</v>
      </c>
    </row>
    <row r="55" spans="1:4" ht="16.5" x14ac:dyDescent="0.15">
      <c r="A55" s="56" t="s">
        <v>518</v>
      </c>
      <c r="B55" s="56">
        <v>1008</v>
      </c>
      <c r="C55" s="56">
        <v>5006</v>
      </c>
      <c r="D55" t="str">
        <f>VLOOKUP(C55,Sheet5!$A$1:$B$22,2,0)</f>
        <v>活跃活动</v>
      </c>
    </row>
    <row r="56" spans="1:4" ht="16.5" x14ac:dyDescent="0.15">
      <c r="A56" s="56" t="s">
        <v>104</v>
      </c>
      <c r="B56" s="56">
        <v>1017</v>
      </c>
      <c r="C56" s="56">
        <v>2</v>
      </c>
      <c r="D56" t="str">
        <f>VLOOKUP(C56,Sheet5!$A$1:$B$22,2,0)</f>
        <v>将星招募</v>
      </c>
    </row>
    <row r="57" spans="1:4" ht="16.5" x14ac:dyDescent="0.15">
      <c r="A57" s="56" t="s">
        <v>339</v>
      </c>
      <c r="B57" s="56">
        <v>1019</v>
      </c>
      <c r="C57" s="56">
        <v>2</v>
      </c>
      <c r="D57" t="str">
        <f>VLOOKUP(C57,Sheet5!$A$1:$B$22,2,0)</f>
        <v>将星招募</v>
      </c>
    </row>
    <row r="58" spans="1:4" ht="16.5" x14ac:dyDescent="0.15">
      <c r="A58" s="56" t="s">
        <v>215</v>
      </c>
      <c r="B58" s="56">
        <v>1031</v>
      </c>
      <c r="C58" s="56">
        <v>2</v>
      </c>
      <c r="D58" t="str">
        <f>VLOOKUP(C58,Sheet5!$A$1:$B$22,2,0)</f>
        <v>将星招募</v>
      </c>
    </row>
    <row r="59" spans="1:4" ht="16.5" x14ac:dyDescent="0.15">
      <c r="A59" s="56" t="s">
        <v>450</v>
      </c>
      <c r="B59" s="56">
        <v>1032</v>
      </c>
      <c r="C59" s="56">
        <v>2</v>
      </c>
      <c r="D59" t="str">
        <f>VLOOKUP(C59,Sheet5!$A$1:$B$22,2,0)</f>
        <v>将星招募</v>
      </c>
    </row>
    <row r="60" spans="1:4" ht="16.5" x14ac:dyDescent="0.15">
      <c r="A60" s="56" t="s">
        <v>84</v>
      </c>
      <c r="B60" s="56">
        <v>1033</v>
      </c>
      <c r="C60" s="56">
        <v>2</v>
      </c>
      <c r="D60" t="str">
        <f>VLOOKUP(C60,Sheet5!$A$1:$B$22,2,0)</f>
        <v>将星招募</v>
      </c>
    </row>
    <row r="61" spans="1:4" ht="16.5" x14ac:dyDescent="0.15">
      <c r="A61" s="56" t="s">
        <v>323</v>
      </c>
      <c r="B61" s="56">
        <v>1034</v>
      </c>
      <c r="C61" s="56">
        <v>1001</v>
      </c>
      <c r="D61" t="str">
        <f>VLOOKUP(C61,Sheet5!$A$1:$B$22,2,0)</f>
        <v>纳贤</v>
      </c>
    </row>
    <row r="62" spans="1:4" ht="16.5" x14ac:dyDescent="0.15">
      <c r="A62" s="56" t="s">
        <v>227</v>
      </c>
      <c r="B62" s="56">
        <v>1035</v>
      </c>
      <c r="C62" s="56">
        <v>1001</v>
      </c>
      <c r="D62" t="str">
        <f>VLOOKUP(C62,Sheet5!$A$1:$B$22,2,0)</f>
        <v>纳贤</v>
      </c>
    </row>
    <row r="63" spans="1:4" ht="16.5" x14ac:dyDescent="0.15">
      <c r="A63" s="56" t="s">
        <v>143</v>
      </c>
      <c r="B63" s="56">
        <v>1078</v>
      </c>
      <c r="C63" s="56">
        <v>1001</v>
      </c>
      <c r="D63" t="str">
        <f>VLOOKUP(C63,Sheet5!$A$1:$B$22,2,0)</f>
        <v>纳贤</v>
      </c>
    </row>
    <row r="64" spans="1:4" ht="16.5" x14ac:dyDescent="0.15">
      <c r="A64" s="56" t="s">
        <v>502</v>
      </c>
      <c r="B64" s="56">
        <v>1079</v>
      </c>
      <c r="C64" s="56">
        <v>2</v>
      </c>
      <c r="D64" t="str">
        <f>VLOOKUP(C64,Sheet5!$A$1:$B$22,2,0)</f>
        <v>将星招募</v>
      </c>
    </row>
    <row r="65" spans="1:4" ht="16.5" x14ac:dyDescent="0.15">
      <c r="A65" s="56" t="s">
        <v>469</v>
      </c>
      <c r="B65" s="56">
        <v>1080</v>
      </c>
      <c r="C65" s="56">
        <v>2</v>
      </c>
      <c r="D65" t="str">
        <f>VLOOKUP(C65,Sheet5!$A$1:$B$22,2,0)</f>
        <v>将星招募</v>
      </c>
    </row>
    <row r="66" spans="1:4" ht="16.5" x14ac:dyDescent="0.15">
      <c r="A66" s="56" t="s">
        <v>208</v>
      </c>
      <c r="B66" s="56">
        <v>1081</v>
      </c>
      <c r="C66" s="56">
        <v>2002</v>
      </c>
      <c r="D66" t="str">
        <f>VLOOKUP(C66,Sheet5!$A$1:$B$22,2,0)</f>
        <v>充值奖励</v>
      </c>
    </row>
    <row r="67" spans="1:4" ht="16.5" x14ac:dyDescent="0.15">
      <c r="A67" s="56" t="s">
        <v>461</v>
      </c>
      <c r="B67" s="56">
        <v>1082</v>
      </c>
      <c r="C67" s="56">
        <v>2002</v>
      </c>
      <c r="D67" t="str">
        <f>VLOOKUP(C67,Sheet5!$A$1:$B$22,2,0)</f>
        <v>充值奖励</v>
      </c>
    </row>
    <row r="68" spans="1:4" ht="16.5" x14ac:dyDescent="0.15">
      <c r="A68" s="56" t="s">
        <v>264</v>
      </c>
      <c r="B68" s="56">
        <v>1083</v>
      </c>
      <c r="C68" s="56">
        <v>2002</v>
      </c>
      <c r="D68" t="str">
        <f>VLOOKUP(C68,Sheet5!$A$1:$B$22,2,0)</f>
        <v>充值奖励</v>
      </c>
    </row>
    <row r="69" spans="1:4" ht="16.5" x14ac:dyDescent="0.15">
      <c r="A69" s="56" t="s">
        <v>111</v>
      </c>
      <c r="B69" s="56">
        <v>1084</v>
      </c>
      <c r="C69" s="56">
        <v>1002</v>
      </c>
      <c r="D69" t="str">
        <f>VLOOKUP(C69,Sheet5!$A$1:$B$22,2,0)</f>
        <v>如意签</v>
      </c>
    </row>
    <row r="70" spans="1:4" ht="16.5" x14ac:dyDescent="0.15">
      <c r="A70" s="56" t="s">
        <v>234</v>
      </c>
      <c r="B70" s="56">
        <v>1085</v>
      </c>
      <c r="C70" s="56">
        <v>2002</v>
      </c>
      <c r="D70" t="str">
        <f>VLOOKUP(C70,Sheet5!$A$1:$B$22,2,0)</f>
        <v>充值奖励</v>
      </c>
    </row>
    <row r="71" spans="1:4" ht="16.5" x14ac:dyDescent="0.15">
      <c r="A71" s="56" t="s">
        <v>369</v>
      </c>
      <c r="B71" s="56">
        <v>1086</v>
      </c>
      <c r="C71" s="56">
        <v>1002</v>
      </c>
      <c r="D71" t="str">
        <f>VLOOKUP(C71,Sheet5!$A$1:$B$22,2,0)</f>
        <v>如意签</v>
      </c>
    </row>
    <row r="72" spans="1:4" ht="16.5" x14ac:dyDescent="0.15">
      <c r="A72" s="56" t="s">
        <v>204</v>
      </c>
      <c r="B72" s="56">
        <v>1087</v>
      </c>
      <c r="C72" s="56">
        <v>1001</v>
      </c>
      <c r="D72" t="str">
        <f>VLOOKUP(C72,Sheet5!$A$1:$B$22,2,0)</f>
        <v>纳贤</v>
      </c>
    </row>
    <row r="73" spans="1:4" ht="16.5" x14ac:dyDescent="0.15">
      <c r="A73" s="56" t="s">
        <v>17</v>
      </c>
      <c r="B73" s="56">
        <v>1088</v>
      </c>
      <c r="C73" s="56">
        <v>1001</v>
      </c>
      <c r="D73" t="str">
        <f>VLOOKUP(C73,Sheet5!$A$1:$B$22,2,0)</f>
        <v>纳贤</v>
      </c>
    </row>
    <row r="74" spans="1:4" ht="16.5" x14ac:dyDescent="0.15">
      <c r="A74" s="56" t="s">
        <v>45</v>
      </c>
      <c r="B74" s="56">
        <v>1089</v>
      </c>
      <c r="C74" s="56">
        <v>1001</v>
      </c>
      <c r="D74" t="str">
        <f>VLOOKUP(C74,Sheet5!$A$1:$B$22,2,0)</f>
        <v>纳贤</v>
      </c>
    </row>
    <row r="75" spans="1:4" ht="16.5" x14ac:dyDescent="0.15">
      <c r="A75" s="56" t="s">
        <v>125</v>
      </c>
      <c r="B75" s="56">
        <v>1090</v>
      </c>
      <c r="C75" s="56">
        <v>2002</v>
      </c>
      <c r="D75" t="str">
        <f>VLOOKUP(C75,Sheet5!$A$1:$B$22,2,0)</f>
        <v>充值奖励</v>
      </c>
    </row>
    <row r="76" spans="1:4" ht="16.5" x14ac:dyDescent="0.15">
      <c r="A76" s="56" t="s">
        <v>325</v>
      </c>
      <c r="B76" s="56">
        <v>1092</v>
      </c>
      <c r="C76" s="56">
        <v>1002</v>
      </c>
      <c r="D76" t="str">
        <f>VLOOKUP(C76,Sheet5!$A$1:$B$22,2,0)</f>
        <v>如意签</v>
      </c>
    </row>
    <row r="77" spans="1:4" ht="16.5" x14ac:dyDescent="0.15">
      <c r="A77" s="56" t="s">
        <v>110</v>
      </c>
      <c r="B77" s="56">
        <v>1093</v>
      </c>
      <c r="C77" s="56">
        <v>1001</v>
      </c>
      <c r="D77" t="str">
        <f>VLOOKUP(C77,Sheet5!$A$1:$B$22,2,0)</f>
        <v>纳贤</v>
      </c>
    </row>
    <row r="78" spans="1:4" ht="16.5" x14ac:dyDescent="0.15">
      <c r="A78" s="56" t="s">
        <v>120</v>
      </c>
      <c r="B78" s="56">
        <v>1094</v>
      </c>
      <c r="C78" s="56">
        <v>1001</v>
      </c>
      <c r="D78" t="str">
        <f>VLOOKUP(C78,Sheet5!$A$1:$B$22,2,0)</f>
        <v>纳贤</v>
      </c>
    </row>
    <row r="79" spans="1:4" ht="16.5" x14ac:dyDescent="0.15">
      <c r="A79" s="56" t="s">
        <v>242</v>
      </c>
      <c r="B79" s="56">
        <v>1102</v>
      </c>
      <c r="C79" s="56">
        <v>2001</v>
      </c>
      <c r="D79" t="str">
        <f>VLOOKUP(C79,Sheet5!$A$1:$B$22,2,0)</f>
        <v>砸蛋</v>
      </c>
    </row>
    <row r="80" spans="1:4" ht="16.5" x14ac:dyDescent="0.15">
      <c r="A80" s="56" t="s">
        <v>48</v>
      </c>
      <c r="B80" s="56">
        <v>1103</v>
      </c>
      <c r="C80" s="56">
        <v>2001</v>
      </c>
      <c r="D80" t="str">
        <f>VLOOKUP(C80,Sheet5!$A$1:$B$22,2,0)</f>
        <v>砸蛋</v>
      </c>
    </row>
    <row r="81" spans="1:4" ht="16.5" x14ac:dyDescent="0.15">
      <c r="A81" s="56" t="s">
        <v>268</v>
      </c>
      <c r="B81" s="56">
        <v>1104</v>
      </c>
      <c r="C81" s="56">
        <v>2002</v>
      </c>
      <c r="D81" t="str">
        <f>VLOOKUP(C81,Sheet5!$A$1:$B$22,2,0)</f>
        <v>充值奖励</v>
      </c>
    </row>
    <row r="82" spans="1:4" ht="16.5" x14ac:dyDescent="0.15">
      <c r="A82" s="56" t="s">
        <v>263</v>
      </c>
      <c r="B82" s="56">
        <v>1105</v>
      </c>
      <c r="C82" s="56">
        <v>1001</v>
      </c>
      <c r="D82" t="str">
        <f>VLOOKUP(C82,Sheet5!$A$1:$B$22,2,0)</f>
        <v>纳贤</v>
      </c>
    </row>
    <row r="83" spans="1:4" ht="16.5" x14ac:dyDescent="0.15">
      <c r="A83" s="56" t="s">
        <v>99</v>
      </c>
      <c r="B83" s="56">
        <v>1107</v>
      </c>
      <c r="C83" s="56">
        <v>1001</v>
      </c>
      <c r="D83" t="str">
        <f>VLOOKUP(C83,Sheet5!$A$1:$B$22,2,0)</f>
        <v>纳贤</v>
      </c>
    </row>
    <row r="84" spans="1:4" ht="16.5" x14ac:dyDescent="0.15">
      <c r="A84" s="56" t="s">
        <v>267</v>
      </c>
      <c r="B84" s="56">
        <v>1112</v>
      </c>
      <c r="C84" s="56">
        <v>2</v>
      </c>
      <c r="D84" t="str">
        <f>VLOOKUP(C84,Sheet5!$A$1:$B$22,2,0)</f>
        <v>将星招募</v>
      </c>
    </row>
    <row r="85" spans="1:4" ht="16.5" x14ac:dyDescent="0.15">
      <c r="A85" s="56" t="s">
        <v>386</v>
      </c>
      <c r="B85" s="56">
        <v>1113</v>
      </c>
      <c r="C85" s="56">
        <v>2002</v>
      </c>
      <c r="D85" t="str">
        <f>VLOOKUP(C85,Sheet5!$A$1:$B$22,2,0)</f>
        <v>充值奖励</v>
      </c>
    </row>
    <row r="86" spans="1:4" ht="16.5" x14ac:dyDescent="0.15">
      <c r="A86" s="56" t="s">
        <v>178</v>
      </c>
      <c r="B86" s="56">
        <v>1114</v>
      </c>
      <c r="C86" s="56">
        <v>1001</v>
      </c>
      <c r="D86" t="str">
        <f>VLOOKUP(C86,Sheet5!$A$1:$B$22,2,0)</f>
        <v>纳贤</v>
      </c>
    </row>
    <row r="87" spans="1:4" ht="16.5" x14ac:dyDescent="0.15">
      <c r="A87" s="56" t="s">
        <v>160</v>
      </c>
      <c r="B87" s="56">
        <v>1115</v>
      </c>
      <c r="C87" s="56">
        <v>1002</v>
      </c>
      <c r="D87" t="str">
        <f>VLOOKUP(C87,Sheet5!$A$1:$B$22,2,0)</f>
        <v>如意签</v>
      </c>
    </row>
    <row r="88" spans="1:4" ht="16.5" x14ac:dyDescent="0.15">
      <c r="A88" s="56" t="s">
        <v>209</v>
      </c>
      <c r="B88" s="56">
        <v>1116</v>
      </c>
      <c r="C88" s="56">
        <v>1001</v>
      </c>
      <c r="D88" t="str">
        <f>VLOOKUP(C88,Sheet5!$A$1:$B$22,2,0)</f>
        <v>纳贤</v>
      </c>
    </row>
    <row r="89" spans="1:4" ht="16.5" x14ac:dyDescent="0.15">
      <c r="A89" s="56" t="s">
        <v>599</v>
      </c>
      <c r="B89" s="56">
        <v>1117</v>
      </c>
      <c r="C89" s="56">
        <v>2002</v>
      </c>
      <c r="D89" t="str">
        <f>VLOOKUP(C89,Sheet5!$A$1:$B$22,2,0)</f>
        <v>充值奖励</v>
      </c>
    </row>
    <row r="90" spans="1:4" ht="16.5" x14ac:dyDescent="0.15">
      <c r="A90" s="56" t="s">
        <v>113</v>
      </c>
      <c r="B90" s="56">
        <v>1122</v>
      </c>
      <c r="C90" s="56">
        <v>2</v>
      </c>
      <c r="D90" t="str">
        <f>VLOOKUP(C90,Sheet5!$A$1:$B$22,2,0)</f>
        <v>将星招募</v>
      </c>
    </row>
    <row r="91" spans="1:4" ht="16.5" x14ac:dyDescent="0.15">
      <c r="A91" s="56" t="s">
        <v>174</v>
      </c>
      <c r="B91" s="56">
        <v>1123</v>
      </c>
      <c r="C91" s="56">
        <v>2</v>
      </c>
      <c r="D91" t="str">
        <f>VLOOKUP(C91,Sheet5!$A$1:$B$22,2,0)</f>
        <v>将星招募</v>
      </c>
    </row>
    <row r="92" spans="1:4" ht="16.5" x14ac:dyDescent="0.15">
      <c r="A92" s="56" t="s">
        <v>51</v>
      </c>
      <c r="B92" s="56">
        <v>1124</v>
      </c>
      <c r="C92" s="56">
        <v>2002</v>
      </c>
      <c r="D92" t="str">
        <f>VLOOKUP(C92,Sheet5!$A$1:$B$22,2,0)</f>
        <v>充值奖励</v>
      </c>
    </row>
    <row r="93" spans="1:4" ht="16.5" x14ac:dyDescent="0.15">
      <c r="A93" s="56" t="s">
        <v>107</v>
      </c>
      <c r="B93" s="56">
        <v>1134</v>
      </c>
      <c r="C93" s="56">
        <v>1001</v>
      </c>
      <c r="D93" t="str">
        <f>VLOOKUP(C93,Sheet5!$A$1:$B$22,2,0)</f>
        <v>纳贤</v>
      </c>
    </row>
    <row r="94" spans="1:4" ht="16.5" x14ac:dyDescent="0.15">
      <c r="A94" s="56" t="s">
        <v>250</v>
      </c>
      <c r="B94" s="56">
        <v>1135</v>
      </c>
      <c r="C94" s="56">
        <v>1001</v>
      </c>
      <c r="D94" t="str">
        <f>VLOOKUP(C94,Sheet5!$A$1:$B$22,2,0)</f>
        <v>纳贤</v>
      </c>
    </row>
    <row r="95" spans="1:4" ht="16.5" x14ac:dyDescent="0.15">
      <c r="A95" s="56" t="s">
        <v>73</v>
      </c>
      <c r="B95" s="56">
        <v>1141</v>
      </c>
      <c r="C95" s="56">
        <v>1001</v>
      </c>
      <c r="D95" t="str">
        <f>VLOOKUP(C95,Sheet5!$A$1:$B$22,2,0)</f>
        <v>纳贤</v>
      </c>
    </row>
    <row r="96" spans="1:4" ht="16.5" x14ac:dyDescent="0.15">
      <c r="A96" s="56" t="s">
        <v>157</v>
      </c>
      <c r="B96" s="56">
        <v>1142</v>
      </c>
      <c r="C96" s="56">
        <v>1001</v>
      </c>
      <c r="D96" t="str">
        <f>VLOOKUP(C96,Sheet5!$A$1:$B$22,2,0)</f>
        <v>纳贤</v>
      </c>
    </row>
    <row r="97" spans="1:4" ht="16.5" x14ac:dyDescent="0.15">
      <c r="A97" s="56" t="s">
        <v>170</v>
      </c>
      <c r="B97" s="56">
        <v>1150</v>
      </c>
      <c r="C97" s="56">
        <v>2</v>
      </c>
      <c r="D97" t="str">
        <f>VLOOKUP(C97,Sheet5!$A$1:$B$22,2,0)</f>
        <v>将星招募</v>
      </c>
    </row>
    <row r="98" spans="1:4" ht="16.5" x14ac:dyDescent="0.15">
      <c r="A98" s="56" t="s">
        <v>357</v>
      </c>
      <c r="B98" s="56">
        <v>1152</v>
      </c>
      <c r="C98" s="56">
        <v>2</v>
      </c>
      <c r="D98" t="str">
        <f>VLOOKUP(C98,Sheet5!$A$1:$B$22,2,0)</f>
        <v>将星招募</v>
      </c>
    </row>
    <row r="99" spans="1:4" ht="16.5" x14ac:dyDescent="0.15">
      <c r="A99" s="56" t="s">
        <v>207</v>
      </c>
      <c r="B99" s="56">
        <v>1153</v>
      </c>
      <c r="C99" s="56">
        <v>2</v>
      </c>
      <c r="D99" t="str">
        <f>VLOOKUP(C99,Sheet5!$A$1:$B$22,2,0)</f>
        <v>将星招募</v>
      </c>
    </row>
    <row r="100" spans="1:4" ht="16.5" x14ac:dyDescent="0.15">
      <c r="A100" s="56" t="s">
        <v>411</v>
      </c>
      <c r="B100" s="56">
        <v>1154</v>
      </c>
      <c r="C100" s="56">
        <v>2002</v>
      </c>
      <c r="D100" t="str">
        <f>VLOOKUP(C100,Sheet5!$A$1:$B$22,2,0)</f>
        <v>充值奖励</v>
      </c>
    </row>
    <row r="101" spans="1:4" ht="16.5" x14ac:dyDescent="0.15">
      <c r="A101" s="56" t="s">
        <v>140</v>
      </c>
      <c r="B101" s="56">
        <v>1160</v>
      </c>
      <c r="C101" s="56">
        <v>1004</v>
      </c>
      <c r="D101" t="str">
        <f>VLOOKUP(C101,Sheet5!$A$1:$B$22,2,0)</f>
        <v>祈福</v>
      </c>
    </row>
    <row r="102" spans="1:4" ht="16.5" x14ac:dyDescent="0.15">
      <c r="A102" s="56" t="s">
        <v>235</v>
      </c>
      <c r="B102" s="56">
        <v>1180</v>
      </c>
      <c r="C102" s="56">
        <v>2</v>
      </c>
      <c r="D102" t="str">
        <f>VLOOKUP(C102,Sheet5!$A$1:$B$22,2,0)</f>
        <v>将星招募</v>
      </c>
    </row>
    <row r="103" spans="1:4" ht="16.5" x14ac:dyDescent="0.15">
      <c r="A103" s="56" t="s">
        <v>317</v>
      </c>
      <c r="B103" s="56">
        <v>1181</v>
      </c>
      <c r="C103" s="56">
        <v>2002</v>
      </c>
      <c r="D103" t="str">
        <f>VLOOKUP(C103,Sheet5!$A$1:$B$22,2,0)</f>
        <v>充值奖励</v>
      </c>
    </row>
    <row r="104" spans="1:4" ht="16.5" x14ac:dyDescent="0.15">
      <c r="A104" s="56" t="s">
        <v>327</v>
      </c>
      <c r="B104" s="56">
        <v>1182</v>
      </c>
      <c r="C104" s="56">
        <v>1002</v>
      </c>
      <c r="D104" t="str">
        <f>VLOOKUP(C104,Sheet5!$A$1:$B$22,2,0)</f>
        <v>如意签</v>
      </c>
    </row>
    <row r="105" spans="1:4" ht="16.5" x14ac:dyDescent="0.15">
      <c r="A105" s="56" t="s">
        <v>409</v>
      </c>
      <c r="B105" s="56">
        <v>1184</v>
      </c>
      <c r="C105" s="56">
        <v>1001</v>
      </c>
      <c r="D105" t="str">
        <f>VLOOKUP(C105,Sheet5!$A$1:$B$22,2,0)</f>
        <v>纳贤</v>
      </c>
    </row>
    <row r="106" spans="1:4" ht="16.5" x14ac:dyDescent="0.15">
      <c r="A106" s="56" t="s">
        <v>259</v>
      </c>
      <c r="B106" s="56">
        <v>1190</v>
      </c>
      <c r="C106" s="56">
        <v>2</v>
      </c>
      <c r="D106" t="str">
        <f>VLOOKUP(C106,Sheet5!$A$1:$B$22,2,0)</f>
        <v>将星招募</v>
      </c>
    </row>
    <row r="107" spans="1:4" ht="16.5" x14ac:dyDescent="0.15">
      <c r="A107" s="56" t="s">
        <v>562</v>
      </c>
      <c r="B107" s="56">
        <v>1205</v>
      </c>
      <c r="C107" s="56">
        <v>2002</v>
      </c>
      <c r="D107" t="str">
        <f>VLOOKUP(C107,Sheet5!$A$1:$B$22,2,0)</f>
        <v>充值奖励</v>
      </c>
    </row>
    <row r="108" spans="1:4" ht="16.5" x14ac:dyDescent="0.15">
      <c r="A108" s="56" t="s">
        <v>505</v>
      </c>
      <c r="B108" s="56">
        <v>1206</v>
      </c>
      <c r="C108" s="56">
        <v>2002</v>
      </c>
      <c r="D108" t="str">
        <f>VLOOKUP(C108,Sheet5!$A$1:$B$22,2,0)</f>
        <v>充值奖励</v>
      </c>
    </row>
    <row r="109" spans="1:4" ht="16.5" x14ac:dyDescent="0.15">
      <c r="A109" s="56" t="s">
        <v>159</v>
      </c>
      <c r="B109" s="56">
        <v>1221</v>
      </c>
      <c r="C109" s="56">
        <v>1002</v>
      </c>
      <c r="D109" t="str">
        <f>VLOOKUP(C109,Sheet5!$A$1:$B$22,2,0)</f>
        <v>如意签</v>
      </c>
    </row>
    <row r="110" spans="1:4" ht="16.5" x14ac:dyDescent="0.15">
      <c r="A110" s="56" t="s">
        <v>236</v>
      </c>
      <c r="B110" s="56">
        <v>1222</v>
      </c>
      <c r="C110" s="56">
        <v>1001</v>
      </c>
      <c r="D110" t="str">
        <f>VLOOKUP(C110,Sheet5!$A$1:$B$22,2,0)</f>
        <v>纳贤</v>
      </c>
    </row>
    <row r="111" spans="1:4" ht="16.5" x14ac:dyDescent="0.15">
      <c r="A111" s="56" t="s">
        <v>190</v>
      </c>
      <c r="B111" s="56">
        <v>1223</v>
      </c>
      <c r="C111" s="56">
        <v>1001</v>
      </c>
      <c r="D111" t="str">
        <f>VLOOKUP(C111,Sheet5!$A$1:$B$22,2,0)</f>
        <v>纳贤</v>
      </c>
    </row>
    <row r="112" spans="1:4" ht="16.5" x14ac:dyDescent="0.15">
      <c r="A112" s="56" t="s">
        <v>224</v>
      </c>
      <c r="B112" s="56">
        <v>1231</v>
      </c>
      <c r="C112" s="56">
        <v>1004</v>
      </c>
      <c r="D112" t="str">
        <f>VLOOKUP(C112,Sheet5!$A$1:$B$22,2,0)</f>
        <v>祈福</v>
      </c>
    </row>
    <row r="113" spans="1:4" ht="16.5" x14ac:dyDescent="0.15">
      <c r="A113" s="56" t="s">
        <v>26</v>
      </c>
      <c r="B113" s="56">
        <v>1232</v>
      </c>
      <c r="C113" s="56">
        <v>1004</v>
      </c>
      <c r="D113" t="str">
        <f>VLOOKUP(C113,Sheet5!$A$1:$B$22,2,0)</f>
        <v>祈福</v>
      </c>
    </row>
    <row r="114" spans="1:4" ht="16.5" x14ac:dyDescent="0.15">
      <c r="A114" s="56" t="s">
        <v>212</v>
      </c>
      <c r="B114" s="56">
        <v>1233</v>
      </c>
      <c r="C114" s="56">
        <v>1004</v>
      </c>
      <c r="D114" t="str">
        <f>VLOOKUP(C114,Sheet5!$A$1:$B$22,2,0)</f>
        <v>祈福</v>
      </c>
    </row>
    <row r="115" spans="1:4" ht="16.5" x14ac:dyDescent="0.15">
      <c r="A115" s="56" t="s">
        <v>39</v>
      </c>
      <c r="B115" s="56">
        <v>1241</v>
      </c>
      <c r="C115" s="56">
        <v>1001</v>
      </c>
      <c r="D115" t="str">
        <f>VLOOKUP(C115,Sheet5!$A$1:$B$22,2,0)</f>
        <v>纳贤</v>
      </c>
    </row>
    <row r="116" spans="1:4" ht="16.5" x14ac:dyDescent="0.15">
      <c r="A116" s="56" t="s">
        <v>271</v>
      </c>
      <c r="B116" s="56">
        <v>1243</v>
      </c>
      <c r="C116" s="56">
        <v>1001</v>
      </c>
      <c r="D116" t="str">
        <f>VLOOKUP(C116,Sheet5!$A$1:$B$22,2,0)</f>
        <v>纳贤</v>
      </c>
    </row>
    <row r="117" spans="1:4" ht="16.5" x14ac:dyDescent="0.15">
      <c r="A117" s="56" t="s">
        <v>425</v>
      </c>
      <c r="B117" s="56">
        <v>1251</v>
      </c>
      <c r="C117" s="56">
        <v>1002</v>
      </c>
      <c r="D117" t="str">
        <f>VLOOKUP(C117,Sheet5!$A$1:$B$22,2,0)</f>
        <v>如意签</v>
      </c>
    </row>
    <row r="118" spans="1:4" ht="16.5" x14ac:dyDescent="0.15">
      <c r="A118" s="56" t="s">
        <v>314</v>
      </c>
      <c r="B118" s="56">
        <v>1261</v>
      </c>
      <c r="C118" s="56">
        <v>2001</v>
      </c>
      <c r="D118" t="str">
        <f>VLOOKUP(C118,Sheet5!$A$1:$B$22,2,0)</f>
        <v>砸蛋</v>
      </c>
    </row>
    <row r="119" spans="1:4" ht="16.5" x14ac:dyDescent="0.15">
      <c r="A119" s="56" t="s">
        <v>164</v>
      </c>
      <c r="B119" s="56">
        <v>1262</v>
      </c>
      <c r="C119" s="56">
        <v>1001</v>
      </c>
      <c r="D119" t="str">
        <f>VLOOKUP(C119,Sheet5!$A$1:$B$22,2,0)</f>
        <v>纳贤</v>
      </c>
    </row>
    <row r="120" spans="1:4" ht="16.5" x14ac:dyDescent="0.15">
      <c r="A120" s="56" t="s">
        <v>9</v>
      </c>
      <c r="B120" s="56">
        <v>1330</v>
      </c>
      <c r="C120" s="56">
        <v>1001</v>
      </c>
      <c r="D120" t="str">
        <f>VLOOKUP(C120,Sheet5!$A$1:$B$22,2,0)</f>
        <v>纳贤</v>
      </c>
    </row>
    <row r="121" spans="1:4" ht="16.5" x14ac:dyDescent="0.15">
      <c r="A121" s="56" t="s">
        <v>423</v>
      </c>
      <c r="B121" s="56">
        <v>1903</v>
      </c>
      <c r="C121" s="56">
        <v>2</v>
      </c>
      <c r="D121" t="str">
        <f>VLOOKUP(C121,Sheet5!$A$1:$B$22,2,0)</f>
        <v>将星招募</v>
      </c>
    </row>
    <row r="122" spans="1:4" ht="16.5" x14ac:dyDescent="0.15">
      <c r="A122" s="56" t="s">
        <v>360</v>
      </c>
      <c r="B122" s="56">
        <v>1904</v>
      </c>
      <c r="C122" s="56">
        <v>2002</v>
      </c>
      <c r="D122" t="str">
        <f>VLOOKUP(C122,Sheet5!$A$1:$B$22,2,0)</f>
        <v>充值奖励</v>
      </c>
    </row>
    <row r="123" spans="1:4" ht="16.5" x14ac:dyDescent="0.15">
      <c r="A123" s="56" t="s">
        <v>319</v>
      </c>
      <c r="B123" s="56">
        <v>1905</v>
      </c>
      <c r="C123" s="56">
        <v>1002</v>
      </c>
      <c r="D123" t="str">
        <f>VLOOKUP(C123,Sheet5!$A$1:$B$22,2,0)</f>
        <v>如意签</v>
      </c>
    </row>
    <row r="124" spans="1:4" ht="16.5" x14ac:dyDescent="0.15">
      <c r="A124" s="56" t="s">
        <v>91</v>
      </c>
      <c r="B124" s="56">
        <v>1950</v>
      </c>
      <c r="C124" s="56">
        <v>2002</v>
      </c>
      <c r="D124" t="str">
        <f>VLOOKUP(C124,Sheet5!$A$1:$B$22,2,0)</f>
        <v>充值奖励</v>
      </c>
    </row>
    <row r="125" spans="1:4" ht="16.5" x14ac:dyDescent="0.15">
      <c r="A125" s="56" t="s">
        <v>176</v>
      </c>
      <c r="B125" s="56">
        <v>1952</v>
      </c>
      <c r="C125" s="56">
        <v>2</v>
      </c>
      <c r="D125" t="str">
        <f>VLOOKUP(C125,Sheet5!$A$1:$B$22,2,0)</f>
        <v>将星招募</v>
      </c>
    </row>
    <row r="126" spans="1:4" ht="16.5" x14ac:dyDescent="0.15">
      <c r="A126" s="56" t="s">
        <v>158</v>
      </c>
      <c r="B126" s="56">
        <v>1953</v>
      </c>
      <c r="C126" s="56">
        <v>2</v>
      </c>
      <c r="D126" t="str">
        <f>VLOOKUP(C126,Sheet5!$A$1:$B$22,2,0)</f>
        <v>将星招募</v>
      </c>
    </row>
    <row r="127" spans="1:4" ht="16.5" x14ac:dyDescent="0.15">
      <c r="A127" s="56" t="s">
        <v>211</v>
      </c>
      <c r="B127" s="56">
        <v>1954</v>
      </c>
      <c r="C127" s="56">
        <v>2002</v>
      </c>
      <c r="D127" t="str">
        <f>VLOOKUP(C127,Sheet5!$A$1:$B$22,2,0)</f>
        <v>充值奖励</v>
      </c>
    </row>
    <row r="128" spans="1:4" ht="16.5" x14ac:dyDescent="0.15">
      <c r="A128" s="56" t="s">
        <v>375</v>
      </c>
      <c r="B128" s="56">
        <v>1106</v>
      </c>
      <c r="C128" s="56">
        <v>1001</v>
      </c>
      <c r="D128" t="str">
        <f>VLOOKUP(C128,Sheet5!$A$1:$B$22,2,0)</f>
        <v>纳贤</v>
      </c>
    </row>
    <row r="129" spans="1:4" ht="16.5" x14ac:dyDescent="0.15">
      <c r="A129" s="56" t="s">
        <v>122</v>
      </c>
      <c r="B129" s="56">
        <v>1133</v>
      </c>
      <c r="C129" s="56">
        <v>1001</v>
      </c>
      <c r="D129" t="str">
        <f>VLOOKUP(C129,Sheet5!$A$1:$B$22,2,0)</f>
        <v>纳贤</v>
      </c>
    </row>
    <row r="130" spans="1:4" ht="16.5" x14ac:dyDescent="0.15">
      <c r="A130" s="56" t="s">
        <v>191</v>
      </c>
      <c r="B130" s="56">
        <v>1143</v>
      </c>
      <c r="C130" s="56">
        <v>1002</v>
      </c>
      <c r="D130" t="str">
        <f>VLOOKUP(C130,Sheet5!$A$1:$B$22,2,0)</f>
        <v>如意签</v>
      </c>
    </row>
    <row r="131" spans="1:4" ht="16.5" x14ac:dyDescent="0.15">
      <c r="A131" s="56" t="s">
        <v>199</v>
      </c>
      <c r="B131" s="56">
        <v>1144</v>
      </c>
      <c r="C131" s="56">
        <v>1001</v>
      </c>
      <c r="D131" t="str">
        <f>VLOOKUP(C131,Sheet5!$A$1:$B$22,2,0)</f>
        <v>纳贤</v>
      </c>
    </row>
    <row r="132" spans="1:4" ht="16.5" x14ac:dyDescent="0.15">
      <c r="A132" s="56" t="s">
        <v>336</v>
      </c>
      <c r="B132" s="56">
        <v>1224</v>
      </c>
      <c r="C132" s="56">
        <v>1001</v>
      </c>
      <c r="D132" t="str">
        <f>VLOOKUP(C132,Sheet5!$A$1:$B$22,2,0)</f>
        <v>纳贤</v>
      </c>
    </row>
    <row r="133" spans="1:4" ht="16.5" x14ac:dyDescent="0.15">
      <c r="A133" s="56" t="s">
        <v>96</v>
      </c>
      <c r="B133" s="56">
        <v>1242</v>
      </c>
      <c r="C133" s="56">
        <v>2001</v>
      </c>
      <c r="D133" t="str">
        <f>VLOOKUP(C133,Sheet5!$A$1:$B$22,2,0)</f>
        <v>砸蛋</v>
      </c>
    </row>
    <row r="134" spans="1:4" ht="16.5" x14ac:dyDescent="0.15">
      <c r="A134" s="56" t="s">
        <v>708</v>
      </c>
      <c r="B134" s="56">
        <v>1263</v>
      </c>
      <c r="C134" s="56">
        <v>2001</v>
      </c>
      <c r="D134" t="str">
        <f>VLOOKUP(C134,Sheet5!$A$1:$B$22,2,0)</f>
        <v>砸蛋</v>
      </c>
    </row>
    <row r="135" spans="1:4" ht="16.5" x14ac:dyDescent="0.15">
      <c r="A135" s="56" t="s">
        <v>53</v>
      </c>
      <c r="B135" s="56">
        <v>1234</v>
      </c>
      <c r="C135" s="56">
        <v>1002</v>
      </c>
      <c r="D135" t="str">
        <f>VLOOKUP(C135,Sheet5!$A$1:$B$22,2,0)</f>
        <v>如意签</v>
      </c>
    </row>
    <row r="136" spans="1:4" ht="16.5" x14ac:dyDescent="0.15">
      <c r="A136" s="56" t="s">
        <v>185</v>
      </c>
      <c r="B136" s="56">
        <v>1183</v>
      </c>
      <c r="C136" s="56">
        <v>1002</v>
      </c>
      <c r="D136" t="str">
        <f>VLOOKUP(C136,Sheet5!$A$1:$B$22,2,0)</f>
        <v>如意签</v>
      </c>
    </row>
    <row r="137" spans="1:4" ht="16.5" x14ac:dyDescent="0.15">
      <c r="A137" s="56" t="s">
        <v>258</v>
      </c>
      <c r="B137" s="56">
        <v>611</v>
      </c>
      <c r="C137" s="56">
        <v>1001</v>
      </c>
      <c r="D137" t="str">
        <f>VLOOKUP(C137,Sheet5!$A$1:$B$22,2,0)</f>
        <v>纳贤</v>
      </c>
    </row>
    <row r="138" spans="1:4" ht="16.5" x14ac:dyDescent="0.15">
      <c r="A138" s="56" t="s">
        <v>356</v>
      </c>
      <c r="B138" s="56">
        <v>1331</v>
      </c>
      <c r="C138" s="56">
        <v>1001</v>
      </c>
      <c r="D138" t="str">
        <f>VLOOKUP(C138,Sheet5!$A$1:$B$22,2,0)</f>
        <v>纳贤</v>
      </c>
    </row>
    <row r="139" spans="1:4" ht="16.5" x14ac:dyDescent="0.15">
      <c r="A139" s="56" t="s">
        <v>8</v>
      </c>
      <c r="B139" s="56">
        <v>231</v>
      </c>
      <c r="C139" s="56">
        <v>1003</v>
      </c>
      <c r="D139" t="str">
        <f>VLOOKUP(C139,Sheet5!$A$1:$B$22,2,0)</f>
        <v>珍宝</v>
      </c>
    </row>
    <row r="140" spans="1:4" ht="16.5" x14ac:dyDescent="0.15">
      <c r="A140" s="56" t="s">
        <v>21</v>
      </c>
      <c r="B140" s="56">
        <v>1235</v>
      </c>
      <c r="C140" s="56">
        <v>1004</v>
      </c>
      <c r="D140" t="str">
        <f>VLOOKUP(C140,Sheet5!$A$1:$B$22,2,0)</f>
        <v>祈福</v>
      </c>
    </row>
    <row r="141" spans="1:4" ht="16.5" x14ac:dyDescent="0.15">
      <c r="A141" s="56" t="s">
        <v>201</v>
      </c>
      <c r="B141" s="56">
        <v>1906</v>
      </c>
      <c r="C141" s="56">
        <v>1001</v>
      </c>
      <c r="D141" t="str">
        <f>VLOOKUP(C141,Sheet5!$A$1:$B$22,2,0)</f>
        <v>纳贤</v>
      </c>
    </row>
    <row r="142" spans="1:4" ht="16.5" x14ac:dyDescent="0.15">
      <c r="A142" s="56" t="s">
        <v>81</v>
      </c>
      <c r="B142" s="56">
        <v>1191</v>
      </c>
      <c r="C142" s="56">
        <v>1001</v>
      </c>
      <c r="D142" t="str">
        <f>VLOOKUP(C142,Sheet5!$A$1:$B$22,2,0)</f>
        <v>纳贤</v>
      </c>
    </row>
    <row r="143" spans="1:4" ht="16.5" x14ac:dyDescent="0.15">
      <c r="A143" s="56" t="s">
        <v>87</v>
      </c>
      <c r="B143" s="56">
        <v>1185</v>
      </c>
      <c r="C143" s="56">
        <v>1001</v>
      </c>
      <c r="D143" t="str">
        <f>VLOOKUP(C143,Sheet5!$A$1:$B$22,2,0)</f>
        <v>纳贤</v>
      </c>
    </row>
    <row r="144" spans="1:4" ht="16.5" x14ac:dyDescent="0.15">
      <c r="A144" s="56" t="s">
        <v>257</v>
      </c>
      <c r="B144" s="56">
        <v>1157</v>
      </c>
      <c r="C144" s="56">
        <v>2002</v>
      </c>
      <c r="D144" t="str">
        <f>VLOOKUP(C144,Sheet5!$A$1:$B$22,2,0)</f>
        <v>充值奖励</v>
      </c>
    </row>
    <row r="145" spans="1:4" ht="16.5" x14ac:dyDescent="0.15">
      <c r="A145" s="56" t="s">
        <v>350</v>
      </c>
      <c r="B145" s="56">
        <v>1155</v>
      </c>
      <c r="C145" s="56">
        <v>1101</v>
      </c>
      <c r="D145" t="str">
        <f>VLOOKUP(C145,Sheet5!$A$1:$B$22,2,0)</f>
        <v>宝玉兑换</v>
      </c>
    </row>
    <row r="146" spans="1:4" ht="16.5" x14ac:dyDescent="0.15">
      <c r="A146" s="56" t="s">
        <v>30</v>
      </c>
      <c r="B146" s="56">
        <v>1600</v>
      </c>
      <c r="C146" s="56">
        <v>1001</v>
      </c>
      <c r="D146" t="str">
        <f>VLOOKUP(C146,Sheet5!$A$1:$B$22,2,0)</f>
        <v>纳贤</v>
      </c>
    </row>
    <row r="147" spans="1:4" ht="16.5" x14ac:dyDescent="0.15">
      <c r="A147" s="56" t="s">
        <v>168</v>
      </c>
      <c r="B147" s="56">
        <v>1602</v>
      </c>
      <c r="C147" s="56">
        <v>1001</v>
      </c>
      <c r="D147" t="str">
        <f>VLOOKUP(C147,Sheet5!$A$1:$B$22,2,0)</f>
        <v>纳贤</v>
      </c>
    </row>
    <row r="148" spans="1:4" ht="16.5" x14ac:dyDescent="0.15">
      <c r="A148" s="56" t="s">
        <v>123</v>
      </c>
      <c r="B148" s="56">
        <v>1159</v>
      </c>
      <c r="C148" s="56">
        <v>1101</v>
      </c>
      <c r="D148" t="str">
        <f>VLOOKUP(C148,Sheet5!$A$1:$B$22,2,0)</f>
        <v>宝玉兑换</v>
      </c>
    </row>
    <row r="149" spans="1:4" ht="16.5" x14ac:dyDescent="0.15">
      <c r="A149" s="56" t="s">
        <v>61</v>
      </c>
      <c r="B149" s="56">
        <v>1208</v>
      </c>
      <c r="C149" s="56">
        <v>1002</v>
      </c>
      <c r="D149" t="str">
        <f>VLOOKUP(C149,Sheet5!$A$1:$B$22,2,0)</f>
        <v>如意签</v>
      </c>
    </row>
    <row r="150" spans="1:4" ht="16.5" x14ac:dyDescent="0.15">
      <c r="A150" s="56" t="s">
        <v>167</v>
      </c>
      <c r="B150" s="56">
        <v>1246</v>
      </c>
      <c r="C150" s="56">
        <v>1001</v>
      </c>
      <c r="D150" t="str">
        <f>VLOOKUP(C150,Sheet5!$A$1:$B$22,2,0)</f>
        <v>纳贤</v>
      </c>
    </row>
    <row r="151" spans="1:4" ht="16.5" x14ac:dyDescent="0.15">
      <c r="A151" s="56" t="s">
        <v>133</v>
      </c>
      <c r="B151" s="56">
        <v>1156</v>
      </c>
      <c r="C151" s="56">
        <v>2002</v>
      </c>
      <c r="D151" t="str">
        <f>VLOOKUP(C151,Sheet5!$A$1:$B$22,2,0)</f>
        <v>充值奖励</v>
      </c>
    </row>
    <row r="152" spans="1:4" ht="16.5" x14ac:dyDescent="0.15">
      <c r="A152" s="56" t="s">
        <v>138</v>
      </c>
      <c r="B152" s="56">
        <v>1036</v>
      </c>
      <c r="C152" s="56">
        <v>1001</v>
      </c>
      <c r="D152" t="str">
        <f>VLOOKUP(C152,Sheet5!$A$1:$B$22,2,0)</f>
        <v>纳贤</v>
      </c>
    </row>
    <row r="153" spans="1:4" ht="16.5" x14ac:dyDescent="0.15">
      <c r="A153" s="56" t="s">
        <v>486</v>
      </c>
      <c r="B153" s="56">
        <v>1020</v>
      </c>
      <c r="C153" s="56">
        <v>1001</v>
      </c>
      <c r="D153" t="str">
        <f>VLOOKUP(C153,Sheet5!$A$1:$B$22,2,0)</f>
        <v>纳贤</v>
      </c>
    </row>
    <row r="154" spans="1:4" ht="16.5" x14ac:dyDescent="0.15">
      <c r="A154" s="56" t="s">
        <v>192</v>
      </c>
      <c r="B154" s="56">
        <v>1630</v>
      </c>
      <c r="C154" s="56">
        <v>1003</v>
      </c>
      <c r="D154" t="str">
        <f>VLOOKUP(C154,Sheet5!$A$1:$B$22,2,0)</f>
        <v>珍宝</v>
      </c>
    </row>
    <row r="155" spans="1:4" ht="16.5" x14ac:dyDescent="0.15">
      <c r="A155" s="56" t="s">
        <v>94</v>
      </c>
      <c r="B155" s="56">
        <v>568</v>
      </c>
      <c r="C155" s="56">
        <v>1004</v>
      </c>
      <c r="D155" t="str">
        <f>VLOOKUP(C155,Sheet5!$A$1:$B$22,2,0)</f>
        <v>祈福</v>
      </c>
    </row>
    <row r="156" spans="1:4" ht="16.5" x14ac:dyDescent="0.15">
      <c r="A156" s="56" t="s">
        <v>454</v>
      </c>
      <c r="B156" s="56">
        <v>1172</v>
      </c>
      <c r="C156" s="56">
        <v>2002</v>
      </c>
      <c r="D156" t="str">
        <f>VLOOKUP(C156,Sheet5!$A$1:$B$22,2,0)</f>
        <v>充值奖励</v>
      </c>
    </row>
    <row r="157" spans="1:4" ht="16.5" x14ac:dyDescent="0.15">
      <c r="A157" s="56" t="s">
        <v>154</v>
      </c>
      <c r="B157" s="56">
        <v>1601</v>
      </c>
      <c r="C157" s="56">
        <v>1001</v>
      </c>
      <c r="D157" t="str">
        <f>VLOOKUP(C157,Sheet5!$A$1:$B$22,2,0)</f>
        <v>纳贤</v>
      </c>
    </row>
    <row r="158" spans="1:4" ht="16.5" x14ac:dyDescent="0.15">
      <c r="A158" s="56" t="s">
        <v>109</v>
      </c>
      <c r="B158" s="56">
        <v>1631</v>
      </c>
      <c r="C158" s="56">
        <v>1003</v>
      </c>
      <c r="D158" t="str">
        <f>VLOOKUP(C158,Sheet5!$A$1:$B$22,2,0)</f>
        <v>珍宝</v>
      </c>
    </row>
    <row r="159" spans="1:4" ht="16.5" x14ac:dyDescent="0.15">
      <c r="A159" s="56" t="s">
        <v>75</v>
      </c>
      <c r="B159" s="56">
        <v>1163</v>
      </c>
      <c r="C159" s="56">
        <v>1001</v>
      </c>
      <c r="D159" t="str">
        <f>VLOOKUP(C159,Sheet5!$A$1:$B$22,2,0)</f>
        <v>纳贤</v>
      </c>
    </row>
    <row r="160" spans="1:4" ht="16.5" x14ac:dyDescent="0.15">
      <c r="A160" s="56" t="s">
        <v>321</v>
      </c>
      <c r="B160" s="56">
        <v>1021</v>
      </c>
      <c r="C160" s="56">
        <v>1001</v>
      </c>
      <c r="D160" t="str">
        <f>VLOOKUP(C160,Sheet5!$A$1:$B$22,2,0)</f>
        <v>纳贤</v>
      </c>
    </row>
    <row r="161" spans="1:4" ht="16.5" x14ac:dyDescent="0.15">
      <c r="A161" s="56" t="s">
        <v>62</v>
      </c>
      <c r="B161" s="56">
        <v>1336</v>
      </c>
      <c r="C161" s="56">
        <v>1001</v>
      </c>
      <c r="D161" t="str">
        <f>VLOOKUP(C161,Sheet5!$A$1:$B$22,2,0)</f>
        <v>纳贤</v>
      </c>
    </row>
    <row r="162" spans="1:4" ht="16.5" x14ac:dyDescent="0.15">
      <c r="A162" s="56" t="s">
        <v>247</v>
      </c>
      <c r="B162" s="56">
        <v>1244</v>
      </c>
      <c r="C162" s="56">
        <v>1001</v>
      </c>
      <c r="D162" t="str">
        <f>VLOOKUP(C162,Sheet5!$A$1:$B$22,2,0)</f>
        <v>纳贤</v>
      </c>
    </row>
    <row r="163" spans="1:4" ht="16.5" x14ac:dyDescent="0.15">
      <c r="A163" s="56" t="s">
        <v>225</v>
      </c>
      <c r="B163" s="56">
        <v>1335</v>
      </c>
      <c r="C163" s="56">
        <v>1001</v>
      </c>
      <c r="D163" t="str">
        <f>VLOOKUP(C163,Sheet5!$A$1:$B$22,2,0)</f>
        <v>纳贤</v>
      </c>
    </row>
    <row r="164" spans="1:4" ht="16.5" x14ac:dyDescent="0.15">
      <c r="A164" s="56" t="s">
        <v>228</v>
      </c>
      <c r="B164" s="56">
        <v>1604</v>
      </c>
      <c r="C164" s="56">
        <v>1001</v>
      </c>
      <c r="D164" t="str">
        <f>VLOOKUP(C164,Sheet5!$A$1:$B$22,2,0)</f>
        <v>纳贤</v>
      </c>
    </row>
    <row r="165" spans="1:4" ht="16.5" x14ac:dyDescent="0.15">
      <c r="A165" s="56" t="s">
        <v>333</v>
      </c>
      <c r="B165" s="56">
        <v>1226</v>
      </c>
      <c r="C165" s="56">
        <v>1001</v>
      </c>
      <c r="D165" t="str">
        <f>VLOOKUP(C165,Sheet5!$A$1:$B$22,2,0)</f>
        <v>纳贤</v>
      </c>
    </row>
    <row r="166" spans="1:4" ht="16.5" x14ac:dyDescent="0.15">
      <c r="A166" s="56" t="s">
        <v>28</v>
      </c>
      <c r="B166" s="56">
        <v>1245</v>
      </c>
      <c r="C166" s="56">
        <v>1004</v>
      </c>
      <c r="D166" t="str">
        <f>VLOOKUP(C166,Sheet5!$A$1:$B$22,2,0)</f>
        <v>祈福</v>
      </c>
    </row>
    <row r="167" spans="1:4" ht="16.5" x14ac:dyDescent="0.15">
      <c r="A167" s="56" t="s">
        <v>82</v>
      </c>
      <c r="B167" s="56">
        <v>219</v>
      </c>
      <c r="C167" s="56">
        <v>1003</v>
      </c>
      <c r="D167" t="str">
        <f>VLOOKUP(C167,Sheet5!$A$1:$B$22,2,0)</f>
        <v>珍宝</v>
      </c>
    </row>
    <row r="168" spans="1:4" ht="16.5" x14ac:dyDescent="0.15">
      <c r="A168" s="56" t="s">
        <v>316</v>
      </c>
      <c r="B168" s="56">
        <v>1161</v>
      </c>
      <c r="C168" s="56">
        <v>1001</v>
      </c>
      <c r="D168" t="str">
        <f>VLOOKUP(C168,Sheet5!$A$1:$B$22,2,0)</f>
        <v>纳贤</v>
      </c>
    </row>
    <row r="169" spans="1:4" ht="16.5" x14ac:dyDescent="0.15">
      <c r="A169" s="56" t="s">
        <v>98</v>
      </c>
      <c r="B169" s="56">
        <v>1605</v>
      </c>
      <c r="C169" s="56">
        <v>1001</v>
      </c>
      <c r="D169" t="str">
        <f>VLOOKUP(C169,Sheet5!$A$1:$B$22,2,0)</f>
        <v>纳贤</v>
      </c>
    </row>
    <row r="170" spans="1:4" ht="16.5" x14ac:dyDescent="0.15">
      <c r="A170" s="56" t="s">
        <v>37</v>
      </c>
      <c r="B170" s="56">
        <v>1632</v>
      </c>
      <c r="C170" s="56">
        <v>1003</v>
      </c>
      <c r="D170" t="str">
        <f>VLOOKUP(C170,Sheet5!$A$1:$B$22,2,0)</f>
        <v>珍宝</v>
      </c>
    </row>
    <row r="171" spans="1:4" ht="16.5" x14ac:dyDescent="0.15">
      <c r="A171" s="56" t="s">
        <v>145</v>
      </c>
      <c r="B171" s="56">
        <v>1643</v>
      </c>
      <c r="C171" s="56">
        <v>1001</v>
      </c>
      <c r="D171" t="str">
        <f>VLOOKUP(C171,Sheet5!$A$1:$B$22,2,0)</f>
        <v>纳贤</v>
      </c>
    </row>
    <row r="172" spans="1:4" ht="16.5" x14ac:dyDescent="0.15">
      <c r="A172" s="56" t="s">
        <v>465</v>
      </c>
      <c r="B172" s="56">
        <v>1194</v>
      </c>
      <c r="C172" s="56">
        <v>1001</v>
      </c>
      <c r="D172" t="str">
        <f>VLOOKUP(C172,Sheet5!$A$1:$B$22,2,0)</f>
        <v>纳贤</v>
      </c>
    </row>
    <row r="173" spans="1:4" ht="16.5" x14ac:dyDescent="0.15">
      <c r="A173" s="56" t="s">
        <v>395</v>
      </c>
      <c r="B173" s="56">
        <v>1641</v>
      </c>
      <c r="C173" s="56">
        <v>1002</v>
      </c>
      <c r="D173" t="str">
        <f>VLOOKUP(C173,Sheet5!$A$1:$B$22,2,0)</f>
        <v>如意签</v>
      </c>
    </row>
    <row r="174" spans="1:4" ht="16.5" x14ac:dyDescent="0.15">
      <c r="A174" s="56" t="s">
        <v>29</v>
      </c>
      <c r="B174" s="56">
        <v>1642</v>
      </c>
      <c r="C174" s="56">
        <v>1001</v>
      </c>
      <c r="D174" t="str">
        <f>VLOOKUP(C174,Sheet5!$A$1:$B$22,2,0)</f>
        <v>纳贤</v>
      </c>
    </row>
    <row r="175" spans="1:4" ht="16.5" x14ac:dyDescent="0.15">
      <c r="A175" s="56" t="s">
        <v>18</v>
      </c>
      <c r="B175" s="56">
        <v>1109</v>
      </c>
      <c r="C175" s="56">
        <v>1004</v>
      </c>
      <c r="D175" t="str">
        <f>VLOOKUP(C175,Sheet5!$A$1:$B$22,2,0)</f>
        <v>祈福</v>
      </c>
    </row>
    <row r="176" spans="1:4" ht="16.5" x14ac:dyDescent="0.15">
      <c r="A176" s="56" t="s">
        <v>338</v>
      </c>
      <c r="B176" s="56">
        <v>1162</v>
      </c>
      <c r="C176" s="56">
        <v>1001</v>
      </c>
      <c r="D176" t="str">
        <f>VLOOKUP(C176,Sheet5!$A$1:$B$22,2,0)</f>
        <v>纳贤</v>
      </c>
    </row>
    <row r="177" spans="1:4" ht="16.5" x14ac:dyDescent="0.15">
      <c r="A177" s="56" t="s">
        <v>647</v>
      </c>
      <c r="B177" s="56">
        <v>1640</v>
      </c>
      <c r="C177" s="56">
        <v>1001</v>
      </c>
      <c r="D177" t="str">
        <f>VLOOKUP(C177,Sheet5!$A$1:$B$22,2,0)</f>
        <v>纳贤</v>
      </c>
    </row>
    <row r="178" spans="1:4" ht="16.5" x14ac:dyDescent="0.15">
      <c r="A178" s="56" t="s">
        <v>776</v>
      </c>
      <c r="B178" s="56">
        <v>580</v>
      </c>
      <c r="C178" s="56">
        <v>1001</v>
      </c>
      <c r="D178" t="str">
        <f>VLOOKUP(C178,Sheet5!$A$1:$B$22,2,0)</f>
        <v>纳贤</v>
      </c>
    </row>
    <row r="179" spans="1:4" ht="16.5" x14ac:dyDescent="0.15">
      <c r="A179" s="56" t="s">
        <v>40</v>
      </c>
      <c r="B179" s="56">
        <v>232</v>
      </c>
      <c r="C179" s="56">
        <v>1003</v>
      </c>
      <c r="D179" t="str">
        <f>VLOOKUP(C179,Sheet5!$A$1:$B$22,2,0)</f>
        <v>珍宝</v>
      </c>
    </row>
    <row r="180" spans="1:4" ht="16.5" x14ac:dyDescent="0.15">
      <c r="A180" s="56" t="s">
        <v>27</v>
      </c>
      <c r="B180" s="56">
        <v>220</v>
      </c>
      <c r="C180" s="56">
        <v>1003</v>
      </c>
      <c r="D180" t="str">
        <f>VLOOKUP(C180,Sheet5!$A$1:$B$22,2,0)</f>
        <v>珍宝</v>
      </c>
    </row>
    <row r="181" spans="1:4" ht="16.5" x14ac:dyDescent="0.15">
      <c r="A181" s="56" t="s">
        <v>230</v>
      </c>
      <c r="B181" s="56">
        <v>1670</v>
      </c>
      <c r="C181" s="56">
        <v>1001</v>
      </c>
      <c r="D181" t="str">
        <f>VLOOKUP(C181,Sheet5!$A$1:$B$22,2,0)</f>
        <v>纳贤</v>
      </c>
    </row>
    <row r="182" spans="1:4" ht="16.5" x14ac:dyDescent="0.15">
      <c r="A182" s="56" t="s">
        <v>172</v>
      </c>
      <c r="B182" s="56">
        <v>1264</v>
      </c>
      <c r="C182" s="56">
        <v>1001</v>
      </c>
      <c r="D182" t="str">
        <f>VLOOKUP(C182,Sheet5!$A$1:$B$22,2,0)</f>
        <v>纳贤</v>
      </c>
    </row>
    <row r="183" spans="1:4" ht="16.5" x14ac:dyDescent="0.15">
      <c r="A183" s="56" t="s">
        <v>80</v>
      </c>
      <c r="B183" s="56">
        <v>1118</v>
      </c>
      <c r="C183" s="56">
        <v>1001</v>
      </c>
      <c r="D183" t="str">
        <f>VLOOKUP(C183,Sheet5!$A$1:$B$22,2,0)</f>
        <v>纳贤</v>
      </c>
    </row>
    <row r="184" spans="1:4" ht="16.5" x14ac:dyDescent="0.15">
      <c r="A184" s="56" t="s">
        <v>108</v>
      </c>
      <c r="B184" s="56">
        <v>1633</v>
      </c>
      <c r="C184" s="56">
        <v>1001</v>
      </c>
      <c r="D184" t="str">
        <f>VLOOKUP(C184,Sheet5!$A$1:$B$22,2,0)</f>
        <v>纳贤</v>
      </c>
    </row>
    <row r="185" spans="1:4" ht="16.5" x14ac:dyDescent="0.15">
      <c r="A185" s="56" t="s">
        <v>512</v>
      </c>
      <c r="B185" s="56">
        <v>1171</v>
      </c>
      <c r="C185" s="56">
        <v>2002</v>
      </c>
      <c r="D185" t="str">
        <f>VLOOKUP(C185,Sheet5!$A$1:$B$22,2,0)</f>
        <v>充值奖励</v>
      </c>
    </row>
    <row r="186" spans="1:4" ht="16.5" x14ac:dyDescent="0.15">
      <c r="A186" s="56" t="s">
        <v>221</v>
      </c>
      <c r="B186" s="56">
        <v>1650</v>
      </c>
      <c r="C186" s="56">
        <v>1001</v>
      </c>
      <c r="D186" t="str">
        <f>VLOOKUP(C186,Sheet5!$A$1:$B$22,2,0)</f>
        <v>纳贤</v>
      </c>
    </row>
    <row r="187" spans="1:4" ht="16.5" x14ac:dyDescent="0.15">
      <c r="A187" s="56" t="s">
        <v>97</v>
      </c>
      <c r="B187" s="56">
        <v>1236</v>
      </c>
      <c r="C187" s="56">
        <v>1004</v>
      </c>
      <c r="D187" t="str">
        <f>VLOOKUP(C187,Sheet5!$A$1:$B$22,2,0)</f>
        <v>祈福</v>
      </c>
    </row>
    <row r="188" spans="1:4" ht="16.5" x14ac:dyDescent="0.15">
      <c r="A188" s="56" t="s">
        <v>155</v>
      </c>
      <c r="B188" s="56">
        <v>1662</v>
      </c>
      <c r="C188" s="56">
        <v>1001</v>
      </c>
      <c r="D188" t="str">
        <f>VLOOKUP(C188,Sheet5!$A$1:$B$22,2,0)</f>
        <v>纳贤</v>
      </c>
    </row>
    <row r="189" spans="1:4" ht="16.5" x14ac:dyDescent="0.15">
      <c r="A189" s="56" t="s">
        <v>222</v>
      </c>
      <c r="B189" s="56">
        <v>1500</v>
      </c>
      <c r="C189" s="56">
        <v>1001</v>
      </c>
      <c r="D189" t="str">
        <f>VLOOKUP(C189,Sheet5!$A$1:$B$22,2,0)</f>
        <v>纳贤</v>
      </c>
    </row>
    <row r="190" spans="1:4" ht="16.5" x14ac:dyDescent="0.15">
      <c r="A190" s="56" t="s">
        <v>137</v>
      </c>
      <c r="B190" s="56">
        <v>1700</v>
      </c>
      <c r="C190" s="56">
        <v>1001</v>
      </c>
      <c r="D190" t="str">
        <f>VLOOKUP(C190,Sheet5!$A$1:$B$22,2,0)</f>
        <v>纳贤</v>
      </c>
    </row>
    <row r="191" spans="1:4" ht="16.5" x14ac:dyDescent="0.15">
      <c r="A191" s="56" t="s">
        <v>274</v>
      </c>
      <c r="B191" s="56">
        <v>1671</v>
      </c>
      <c r="C191" s="56">
        <v>1001</v>
      </c>
      <c r="D191" t="str">
        <f>VLOOKUP(C191,Sheet5!$A$1:$B$22,2,0)</f>
        <v>纳贤</v>
      </c>
    </row>
    <row r="192" spans="1:4" ht="16.5" x14ac:dyDescent="0.15">
      <c r="A192" s="56" t="s">
        <v>260</v>
      </c>
      <c r="B192" s="56">
        <v>1158</v>
      </c>
      <c r="C192" s="56">
        <v>2002</v>
      </c>
      <c r="D192" t="str">
        <f>VLOOKUP(C192,Sheet5!$A$1:$B$22,2,0)</f>
        <v>充值奖励</v>
      </c>
    </row>
    <row r="193" spans="1:4" ht="16.5" x14ac:dyDescent="0.15">
      <c r="A193" s="56" t="s">
        <v>554</v>
      </c>
      <c r="B193" s="56">
        <v>1690</v>
      </c>
      <c r="C193" s="56">
        <v>2002</v>
      </c>
      <c r="D193" t="str">
        <f>VLOOKUP(C193,Sheet5!$A$1:$B$22,2,0)</f>
        <v>充值奖励</v>
      </c>
    </row>
    <row r="194" spans="1:4" ht="16.5" x14ac:dyDescent="0.15">
      <c r="A194" s="56" t="s">
        <v>50</v>
      </c>
      <c r="B194" s="56">
        <v>1661</v>
      </c>
      <c r="C194" s="56">
        <v>1001</v>
      </c>
      <c r="D194" t="str">
        <f>VLOOKUP(C194,Sheet5!$A$1:$B$22,2,0)</f>
        <v>纳贤</v>
      </c>
    </row>
    <row r="195" spans="1:4" ht="16.5" x14ac:dyDescent="0.15">
      <c r="A195" s="56" t="s">
        <v>12</v>
      </c>
      <c r="B195" s="56">
        <v>1634</v>
      </c>
      <c r="C195" s="56">
        <v>1003</v>
      </c>
      <c r="D195" t="str">
        <f>VLOOKUP(C195,Sheet5!$A$1:$B$22,2,0)</f>
        <v>珍宝</v>
      </c>
    </row>
    <row r="196" spans="1:4" ht="16.5" x14ac:dyDescent="0.15">
      <c r="A196" s="56" t="s">
        <v>156</v>
      </c>
      <c r="B196" s="56">
        <v>1337</v>
      </c>
      <c r="C196" s="56">
        <v>1001</v>
      </c>
      <c r="D196" t="str">
        <f>VLOOKUP(C196,Sheet5!$A$1:$B$22,2,0)</f>
        <v>纳贤</v>
      </c>
    </row>
    <row r="197" spans="1:4" ht="16.5" x14ac:dyDescent="0.15">
      <c r="A197" s="56" t="s">
        <v>462</v>
      </c>
      <c r="B197" s="56">
        <v>1681</v>
      </c>
      <c r="C197" s="56">
        <v>1001</v>
      </c>
      <c r="D197" t="str">
        <f>VLOOKUP(C197,Sheet5!$A$1:$B$22,2,0)</f>
        <v>纳贤</v>
      </c>
    </row>
    <row r="198" spans="1:4" ht="16.5" x14ac:dyDescent="0.15">
      <c r="A198" s="56" t="s">
        <v>330</v>
      </c>
      <c r="B198" s="56">
        <v>1501</v>
      </c>
      <c r="C198" s="56">
        <v>1001</v>
      </c>
      <c r="D198" t="str">
        <f>VLOOKUP(C198,Sheet5!$A$1:$B$22,2,0)</f>
        <v>纳贤</v>
      </c>
    </row>
    <row r="199" spans="1:4" ht="16.5" x14ac:dyDescent="0.15">
      <c r="A199" s="56" t="s">
        <v>197</v>
      </c>
      <c r="B199" s="56">
        <v>1186</v>
      </c>
      <c r="C199" s="56">
        <v>1004</v>
      </c>
      <c r="D199" t="str">
        <f>VLOOKUP(C199,Sheet5!$A$1:$B$22,2,0)</f>
        <v>祈福</v>
      </c>
    </row>
    <row r="200" spans="1:4" ht="16.5" x14ac:dyDescent="0.15">
      <c r="A200" s="56" t="s">
        <v>322</v>
      </c>
      <c r="B200" s="56">
        <v>1663</v>
      </c>
      <c r="C200" s="56">
        <v>1001</v>
      </c>
      <c r="D200" t="str">
        <f>VLOOKUP(C200,Sheet5!$A$1:$B$22,2,0)</f>
        <v>纳贤</v>
      </c>
    </row>
    <row r="201" spans="1:4" ht="16.5" x14ac:dyDescent="0.15">
      <c r="A201" s="56" t="s">
        <v>194</v>
      </c>
      <c r="B201" s="56">
        <v>1607</v>
      </c>
      <c r="C201" s="56">
        <v>1001</v>
      </c>
      <c r="D201" t="str">
        <f>VLOOKUP(C201,Sheet5!$A$1:$B$22,2,0)</f>
        <v>纳贤</v>
      </c>
    </row>
    <row r="202" spans="1:4" ht="16.5" x14ac:dyDescent="0.15">
      <c r="A202" s="56" t="s">
        <v>74</v>
      </c>
      <c r="B202" s="56">
        <v>1635</v>
      </c>
      <c r="C202" s="56">
        <v>1003</v>
      </c>
      <c r="D202" t="str">
        <f>VLOOKUP(C202,Sheet5!$A$1:$B$22,2,0)</f>
        <v>珍宝</v>
      </c>
    </row>
    <row r="203" spans="1:4" ht="16.5" x14ac:dyDescent="0.15">
      <c r="A203" s="56" t="s">
        <v>349</v>
      </c>
      <c r="B203" s="56">
        <v>1692</v>
      </c>
      <c r="C203" s="56">
        <v>2002</v>
      </c>
      <c r="D203" t="str">
        <f>VLOOKUP(C203,Sheet5!$A$1:$B$22,2,0)</f>
        <v>充值奖励</v>
      </c>
    </row>
    <row r="204" spans="1:4" ht="16.5" x14ac:dyDescent="0.15">
      <c r="A204" s="56" t="s">
        <v>79</v>
      </c>
      <c r="B204" s="56">
        <v>1334</v>
      </c>
      <c r="C204" s="56">
        <v>1001</v>
      </c>
      <c r="D204" t="str">
        <f>VLOOKUP(C204,Sheet5!$A$1:$B$22,2,0)</f>
        <v>纳贤</v>
      </c>
    </row>
    <row r="205" spans="1:4" ht="16.5" x14ac:dyDescent="0.15">
      <c r="A205" s="56" t="s">
        <v>134</v>
      </c>
      <c r="B205" s="56">
        <v>1701</v>
      </c>
      <c r="C205" s="56">
        <v>1001</v>
      </c>
      <c r="D205" t="str">
        <f>VLOOKUP(C205,Sheet5!$A$1:$B$22,2,0)</f>
        <v>纳贤</v>
      </c>
    </row>
    <row r="206" spans="1:4" ht="16.5" x14ac:dyDescent="0.15">
      <c r="A206" s="56" t="s">
        <v>42</v>
      </c>
      <c r="B206" s="56">
        <v>999</v>
      </c>
      <c r="C206" s="56">
        <v>1001</v>
      </c>
      <c r="D206" t="str">
        <f>VLOOKUP(C206,Sheet5!$A$1:$B$22,2,0)</f>
        <v>纳贤</v>
      </c>
    </row>
    <row r="207" spans="1:4" ht="16.5" x14ac:dyDescent="0.15">
      <c r="A207" s="56" t="s">
        <v>24</v>
      </c>
      <c r="B207" s="56">
        <v>221</v>
      </c>
      <c r="C207" s="56">
        <v>1003</v>
      </c>
      <c r="D207" t="str">
        <f>VLOOKUP(C207,Sheet5!$A$1:$B$22,2,0)</f>
        <v>珍宝</v>
      </c>
    </row>
    <row r="208" spans="1:4" ht="16.5" x14ac:dyDescent="0.15">
      <c r="A208" s="56" t="s">
        <v>43</v>
      </c>
      <c r="B208" s="56">
        <v>1237</v>
      </c>
      <c r="C208" s="56">
        <v>1004</v>
      </c>
      <c r="D208" t="str">
        <f>VLOOKUP(C208,Sheet5!$A$1:$B$22,2,0)</f>
        <v>祈福</v>
      </c>
    </row>
    <row r="209" spans="1:4" ht="16.5" x14ac:dyDescent="0.15">
      <c r="A209" s="56" t="s">
        <v>210</v>
      </c>
      <c r="B209" s="56">
        <v>1187</v>
      </c>
      <c r="C209" s="56">
        <v>1001</v>
      </c>
      <c r="D209" t="str">
        <f>VLOOKUP(C209,Sheet5!$A$1:$B$22,2,0)</f>
        <v>纳贤</v>
      </c>
    </row>
    <row r="210" spans="1:4" ht="16.5" x14ac:dyDescent="0.15">
      <c r="A210" s="56" t="s">
        <v>183</v>
      </c>
      <c r="B210" s="56">
        <v>1682</v>
      </c>
      <c r="C210" s="56">
        <v>5006</v>
      </c>
      <c r="D210" t="str">
        <f>VLOOKUP(C210,Sheet5!$A$1:$B$22,2,0)</f>
        <v>活跃活动</v>
      </c>
    </row>
    <row r="211" spans="1:4" ht="16.5" x14ac:dyDescent="0.15">
      <c r="A211" s="56" t="s">
        <v>95</v>
      </c>
      <c r="B211" s="56">
        <v>1225</v>
      </c>
      <c r="C211" s="56">
        <v>1001</v>
      </c>
      <c r="D211" t="str">
        <f>VLOOKUP(C211,Sheet5!$A$1:$B$22,2,0)</f>
        <v>纳贤</v>
      </c>
    </row>
    <row r="212" spans="1:4" ht="16.5" x14ac:dyDescent="0.15">
      <c r="A212" s="56" t="s">
        <v>205</v>
      </c>
      <c r="B212" s="56">
        <v>1108</v>
      </c>
      <c r="C212" s="56">
        <v>2002</v>
      </c>
      <c r="D212" t="str">
        <f>VLOOKUP(C212,Sheet5!$A$1:$B$22,2,0)</f>
        <v>充值奖励</v>
      </c>
    </row>
    <row r="213" spans="1:4" ht="16.5" x14ac:dyDescent="0.15">
      <c r="A213" s="56" t="s">
        <v>83</v>
      </c>
      <c r="B213" s="56">
        <v>1338</v>
      </c>
      <c r="C213" s="56">
        <v>1001</v>
      </c>
      <c r="D213" t="str">
        <f>VLOOKUP(C213,Sheet5!$A$1:$B$22,2,0)</f>
        <v>纳贤</v>
      </c>
    </row>
    <row r="214" spans="1:4" ht="16.5" x14ac:dyDescent="0.15">
      <c r="A214" s="56" t="s">
        <v>162</v>
      </c>
      <c r="B214" s="56">
        <v>1606</v>
      </c>
      <c r="C214" s="56">
        <v>1001</v>
      </c>
      <c r="D214" t="str">
        <f>VLOOKUP(C214,Sheet5!$A$1:$B$22,2,0)</f>
        <v>纳贤</v>
      </c>
    </row>
    <row r="215" spans="1:4" ht="16.5" x14ac:dyDescent="0.15">
      <c r="A215" s="56" t="s">
        <v>89</v>
      </c>
      <c r="B215" s="56">
        <v>1136</v>
      </c>
      <c r="C215" s="56">
        <v>1002</v>
      </c>
      <c r="D215" t="str">
        <f>VLOOKUP(C215,Sheet5!$A$1:$B$22,2,0)</f>
        <v>如意签</v>
      </c>
    </row>
    <row r="216" spans="1:4" ht="16.5" x14ac:dyDescent="0.15">
      <c r="A216" s="56" t="s">
        <v>88</v>
      </c>
      <c r="B216" s="56">
        <v>1907</v>
      </c>
      <c r="C216" s="56">
        <v>1001</v>
      </c>
      <c r="D216" t="str">
        <f>VLOOKUP(C216,Sheet5!$A$1:$B$22,2,0)</f>
        <v>纳贤</v>
      </c>
    </row>
    <row r="217" spans="1:4" ht="16.5" x14ac:dyDescent="0.15">
      <c r="A217" s="56" t="s">
        <v>329</v>
      </c>
      <c r="B217" s="56">
        <v>1603</v>
      </c>
      <c r="C217" s="56">
        <v>1001</v>
      </c>
      <c r="D217" t="str">
        <f>VLOOKUP(C217,Sheet5!$A$1:$B$22,2,0)</f>
        <v>纳贤</v>
      </c>
    </row>
    <row r="218" spans="1:4" ht="16.5" x14ac:dyDescent="0.15">
      <c r="A218" s="56" t="s">
        <v>41</v>
      </c>
      <c r="B218" s="56">
        <v>581</v>
      </c>
      <c r="C218" s="56">
        <v>1004</v>
      </c>
      <c r="D218" t="str">
        <f>VLOOKUP(C218,Sheet5!$A$1:$B$22,2,0)</f>
        <v>祈福</v>
      </c>
    </row>
    <row r="219" spans="1:4" ht="16.5" x14ac:dyDescent="0.15">
      <c r="A219" s="56" t="s">
        <v>124</v>
      </c>
      <c r="B219" s="56">
        <v>1247</v>
      </c>
      <c r="C219" s="56">
        <v>1001</v>
      </c>
      <c r="D219" t="str">
        <f>VLOOKUP(C219,Sheet5!$A$1:$B$22,2,0)</f>
        <v>纳贤</v>
      </c>
    </row>
    <row r="220" spans="1:4" ht="16.5" x14ac:dyDescent="0.15">
      <c r="A220" s="56" t="s">
        <v>38</v>
      </c>
      <c r="B220" s="56">
        <v>2200</v>
      </c>
      <c r="C220" s="56">
        <v>1003</v>
      </c>
      <c r="D220" t="str">
        <f>VLOOKUP(C220,Sheet5!$A$1:$B$22,2,0)</f>
        <v>珍宝</v>
      </c>
    </row>
    <row r="221" spans="1:4" ht="16.5" x14ac:dyDescent="0.15">
      <c r="A221" s="56" t="s">
        <v>302</v>
      </c>
      <c r="B221" s="56">
        <v>1698</v>
      </c>
      <c r="C221" s="56">
        <v>2002</v>
      </c>
      <c r="D221" t="str">
        <f>VLOOKUP(C221,Sheet5!$A$1:$B$22,2,0)</f>
        <v>充值奖励</v>
      </c>
    </row>
    <row r="222" spans="1:4" ht="16.5" x14ac:dyDescent="0.15">
      <c r="A222" s="56" t="s">
        <v>131</v>
      </c>
      <c r="B222" s="56">
        <v>1711</v>
      </c>
      <c r="C222" s="56">
        <v>2002</v>
      </c>
      <c r="D222" t="str">
        <f>VLOOKUP(C222,Sheet5!$A$1:$B$22,2,0)</f>
        <v>充值奖励</v>
      </c>
    </row>
    <row r="223" spans="1:4" ht="16.5" x14ac:dyDescent="0.15">
      <c r="A223" s="56" t="s">
        <v>478</v>
      </c>
      <c r="B223" s="56">
        <v>1691</v>
      </c>
      <c r="C223" s="56">
        <v>2002</v>
      </c>
      <c r="D223" t="str">
        <f>VLOOKUP(C223,Sheet5!$A$1:$B$22,2,0)</f>
        <v>充值奖励</v>
      </c>
    </row>
    <row r="224" spans="1:4" ht="16.5" x14ac:dyDescent="0.15">
      <c r="A224" s="56" t="s">
        <v>163</v>
      </c>
      <c r="B224" s="56">
        <v>1339</v>
      </c>
      <c r="C224" s="56">
        <v>1001</v>
      </c>
      <c r="D224" t="str">
        <f>VLOOKUP(C224,Sheet5!$A$1:$B$22,2,0)</f>
        <v>纳贤</v>
      </c>
    </row>
    <row r="225" spans="1:4" ht="16.5" x14ac:dyDescent="0.15">
      <c r="A225" s="56" t="s">
        <v>179</v>
      </c>
      <c r="B225" s="56">
        <v>1693</v>
      </c>
      <c r="C225" s="56">
        <v>2002</v>
      </c>
      <c r="D225" t="str">
        <f>VLOOKUP(C225,Sheet5!$A$1:$B$22,2,0)</f>
        <v>充值奖励</v>
      </c>
    </row>
    <row r="226" spans="1:4" ht="16.5" x14ac:dyDescent="0.15">
      <c r="A226" s="56" t="s">
        <v>20</v>
      </c>
      <c r="B226" s="56">
        <v>222</v>
      </c>
      <c r="C226" s="56">
        <v>1003</v>
      </c>
      <c r="D226" t="str">
        <f>VLOOKUP(C226,Sheet5!$A$1:$B$22,2,0)</f>
        <v>珍宝</v>
      </c>
    </row>
    <row r="227" spans="1:4" ht="16.5" x14ac:dyDescent="0.15">
      <c r="A227" s="56" t="s">
        <v>14</v>
      </c>
      <c r="B227" s="56">
        <v>2201</v>
      </c>
      <c r="C227" s="56">
        <v>1004</v>
      </c>
      <c r="D227" t="str">
        <f>VLOOKUP(C227,Sheet5!$A$1:$B$22,2,0)</f>
        <v>祈福</v>
      </c>
    </row>
    <row r="228" spans="1:4" ht="16.5" x14ac:dyDescent="0.15">
      <c r="A228" s="56" t="s">
        <v>206</v>
      </c>
      <c r="B228" s="56">
        <v>1696</v>
      </c>
      <c r="C228" s="56">
        <v>2002</v>
      </c>
      <c r="D228" t="str">
        <f>VLOOKUP(C228,Sheet5!$A$1:$B$22,2,0)</f>
        <v>充值奖励</v>
      </c>
    </row>
    <row r="229" spans="1:4" ht="16.5" x14ac:dyDescent="0.15">
      <c r="A229" s="56" t="s">
        <v>44</v>
      </c>
      <c r="B229" s="56">
        <v>1227</v>
      </c>
      <c r="C229" s="56">
        <v>1001</v>
      </c>
      <c r="D229" t="str">
        <f>VLOOKUP(C229,Sheet5!$A$1:$B$22,2,0)</f>
        <v>纳贤</v>
      </c>
    </row>
    <row r="230" spans="1:4" ht="16.5" x14ac:dyDescent="0.15">
      <c r="A230" s="56" t="s">
        <v>148</v>
      </c>
      <c r="B230" s="56">
        <v>1503</v>
      </c>
      <c r="C230" s="56">
        <v>1001</v>
      </c>
      <c r="D230" t="str">
        <f>VLOOKUP(C230,Sheet5!$A$1:$B$22,2,0)</f>
        <v>纳贤</v>
      </c>
    </row>
    <row r="231" spans="1:4" ht="16.5" x14ac:dyDescent="0.15">
      <c r="A231" s="56" t="s">
        <v>342</v>
      </c>
      <c r="B231" s="56">
        <v>1531</v>
      </c>
      <c r="C231" s="56">
        <v>2002</v>
      </c>
      <c r="D231" t="str">
        <f>VLOOKUP(C231,Sheet5!$A$1:$B$22,2,0)</f>
        <v>充值奖励</v>
      </c>
    </row>
    <row r="232" spans="1:4" ht="16.5" x14ac:dyDescent="0.15">
      <c r="A232" s="56" t="s">
        <v>35</v>
      </c>
      <c r="B232" s="56">
        <v>2202</v>
      </c>
      <c r="C232" s="56">
        <v>1003</v>
      </c>
      <c r="D232" t="str">
        <f>VLOOKUP(C232,Sheet5!$A$1:$B$22,2,0)</f>
        <v>珍宝</v>
      </c>
    </row>
    <row r="233" spans="1:4" ht="16.5" x14ac:dyDescent="0.15">
      <c r="A233" s="56" t="s">
        <v>332</v>
      </c>
      <c r="B233" s="56">
        <v>1502</v>
      </c>
      <c r="C233" s="56">
        <v>1001</v>
      </c>
      <c r="D233" t="str">
        <f>VLOOKUP(C233,Sheet5!$A$1:$B$22,2,0)</f>
        <v>纳贤</v>
      </c>
    </row>
    <row r="234" spans="1:4" ht="16.5" x14ac:dyDescent="0.15">
      <c r="A234" s="56" t="s">
        <v>132</v>
      </c>
      <c r="B234" s="56">
        <v>1209</v>
      </c>
      <c r="C234" s="56">
        <v>1002</v>
      </c>
      <c r="D234" t="str">
        <f>VLOOKUP(C234,Sheet5!$A$1:$B$22,2,0)</f>
        <v>如意签</v>
      </c>
    </row>
    <row r="235" spans="1:4" ht="16.5" x14ac:dyDescent="0.15">
      <c r="A235" s="56" t="s">
        <v>181</v>
      </c>
      <c r="B235" s="56">
        <v>1672</v>
      </c>
      <c r="C235" s="56">
        <v>1001</v>
      </c>
      <c r="D235" t="str">
        <f>VLOOKUP(C235,Sheet5!$A$1:$B$22,2,0)</f>
        <v>纳贤</v>
      </c>
    </row>
    <row r="236" spans="1:4" ht="16.5" x14ac:dyDescent="0.15">
      <c r="A236" s="56" t="s">
        <v>126</v>
      </c>
      <c r="B236" s="56">
        <v>1248</v>
      </c>
      <c r="C236" s="56">
        <v>1001</v>
      </c>
      <c r="D236" t="str">
        <f>VLOOKUP(C236,Sheet5!$A$1:$B$22,2,0)</f>
        <v>纳贤</v>
      </c>
    </row>
    <row r="237" spans="1:4" ht="16.5" x14ac:dyDescent="0.15">
      <c r="A237" s="56" t="s">
        <v>49</v>
      </c>
      <c r="B237" s="56">
        <v>1504</v>
      </c>
      <c r="C237" s="56">
        <v>1004</v>
      </c>
      <c r="D237" t="str">
        <f>VLOOKUP(C237,Sheet5!$A$1:$B$22,2,0)</f>
        <v>祈福</v>
      </c>
    </row>
    <row r="238" spans="1:4" ht="16.5" x14ac:dyDescent="0.15">
      <c r="A238" s="56" t="s">
        <v>117</v>
      </c>
      <c r="B238" s="56">
        <v>2204</v>
      </c>
      <c r="C238" s="56">
        <v>1003</v>
      </c>
      <c r="D238" t="str">
        <f>VLOOKUP(C238,Sheet5!$A$1:$B$22,2,0)</f>
        <v>珍宝</v>
      </c>
    </row>
    <row r="239" spans="1:4" ht="16.5" x14ac:dyDescent="0.15">
      <c r="A239" s="56" t="s">
        <v>243</v>
      </c>
      <c r="B239" s="56">
        <v>1137</v>
      </c>
      <c r="C239" s="56">
        <v>2002</v>
      </c>
      <c r="D239" t="str">
        <f>VLOOKUP(C239,Sheet5!$A$1:$B$22,2,0)</f>
        <v>充值奖励</v>
      </c>
    </row>
    <row r="240" spans="1:4" ht="16.5" x14ac:dyDescent="0.15">
      <c r="A240" s="56" t="s">
        <v>141</v>
      </c>
      <c r="B240" s="56">
        <v>1188</v>
      </c>
      <c r="C240" s="56">
        <v>2001</v>
      </c>
      <c r="D240" t="str">
        <f>VLOOKUP(C240,Sheet5!$A$1:$B$22,2,0)</f>
        <v>砸蛋</v>
      </c>
    </row>
    <row r="241" spans="1:4" ht="16.5" x14ac:dyDescent="0.15">
      <c r="A241" s="56" t="s">
        <v>229</v>
      </c>
      <c r="B241" s="56">
        <v>1193</v>
      </c>
      <c r="C241" s="56">
        <v>1001</v>
      </c>
      <c r="D241" t="str">
        <f>VLOOKUP(C241,Sheet5!$A$1:$B$22,2,0)</f>
        <v>纳贤</v>
      </c>
    </row>
    <row r="242" spans="1:4" ht="16.5" x14ac:dyDescent="0.15">
      <c r="A242" s="56" t="s">
        <v>311</v>
      </c>
      <c r="B242" s="56">
        <v>2302</v>
      </c>
      <c r="C242" s="56">
        <v>1001</v>
      </c>
      <c r="D242" t="str">
        <f>VLOOKUP(C242,Sheet5!$A$1:$B$22,2,0)</f>
        <v>纳贤</v>
      </c>
    </row>
    <row r="243" spans="1:4" ht="16.5" x14ac:dyDescent="0.15">
      <c r="A243" s="56" t="s">
        <v>19</v>
      </c>
      <c r="B243" s="56">
        <v>1636</v>
      </c>
      <c r="C243" s="56">
        <v>1003</v>
      </c>
      <c r="D243" t="str">
        <f>VLOOKUP(C243,Sheet5!$A$1:$B$22,2,0)</f>
        <v>珍宝</v>
      </c>
    </row>
    <row r="244" spans="1:4" ht="16.5" x14ac:dyDescent="0.15">
      <c r="A244" s="56" t="s">
        <v>177</v>
      </c>
      <c r="B244" s="56">
        <v>1332</v>
      </c>
      <c r="C244" s="56">
        <v>1001</v>
      </c>
      <c r="D244" t="str">
        <f>VLOOKUP(C244,Sheet5!$A$1:$B$22,2,0)</f>
        <v>纳贤</v>
      </c>
    </row>
    <row r="245" spans="1:4" ht="16.5" x14ac:dyDescent="0.15">
      <c r="A245" s="56" t="s">
        <v>401</v>
      </c>
      <c r="B245" s="56">
        <v>1608</v>
      </c>
      <c r="C245" s="56">
        <v>1001</v>
      </c>
      <c r="D245" t="str">
        <f>VLOOKUP(C245,Sheet5!$A$1:$B$22,2,0)</f>
        <v>纳贤</v>
      </c>
    </row>
    <row r="246" spans="1:4" ht="16.5" x14ac:dyDescent="0.15">
      <c r="A246" s="56" t="s">
        <v>218</v>
      </c>
      <c r="B246" s="56">
        <v>1333</v>
      </c>
      <c r="C246" s="56">
        <v>1001</v>
      </c>
      <c r="D246" t="str">
        <f>VLOOKUP(C246,Sheet5!$A$1:$B$22,2,0)</f>
        <v>纳贤</v>
      </c>
    </row>
    <row r="247" spans="1:4" ht="16.5" x14ac:dyDescent="0.15">
      <c r="A247" s="56" t="s">
        <v>78</v>
      </c>
      <c r="B247" s="56">
        <v>2300</v>
      </c>
      <c r="C247" s="56">
        <v>1002</v>
      </c>
      <c r="D247" t="str">
        <f>VLOOKUP(C247,Sheet5!$A$1:$B$22,2,0)</f>
        <v>如意签</v>
      </c>
    </row>
    <row r="248" spans="1:4" ht="16.5" x14ac:dyDescent="0.15">
      <c r="A248" s="56" t="s">
        <v>374</v>
      </c>
      <c r="B248" s="56">
        <v>233</v>
      </c>
      <c r="C248" s="56">
        <v>1003</v>
      </c>
      <c r="D248" t="str">
        <f>VLOOKUP(C248,Sheet5!$A$1:$B$22,2,0)</f>
        <v>珍宝</v>
      </c>
    </row>
    <row r="249" spans="1:4" ht="16.5" x14ac:dyDescent="0.15">
      <c r="A249" s="56" t="s">
        <v>57</v>
      </c>
      <c r="B249" s="56">
        <v>1022</v>
      </c>
      <c r="C249" s="56">
        <v>1004</v>
      </c>
      <c r="D249" t="str">
        <f>VLOOKUP(C249,Sheet5!$A$1:$B$22,2,0)</f>
        <v>祈福</v>
      </c>
    </row>
    <row r="250" spans="1:4" ht="16.5" x14ac:dyDescent="0.15">
      <c r="A250" s="56" t="s">
        <v>55</v>
      </c>
      <c r="B250" s="56">
        <v>2301</v>
      </c>
      <c r="C250" s="56">
        <v>1001</v>
      </c>
      <c r="D250" t="str">
        <f>VLOOKUP(C250,Sheet5!$A$1:$B$22,2,0)</f>
        <v>纳贤</v>
      </c>
    </row>
    <row r="251" spans="1:4" ht="16.5" x14ac:dyDescent="0.15">
      <c r="A251" s="56" t="s">
        <v>283</v>
      </c>
      <c r="B251" s="56">
        <v>1119</v>
      </c>
      <c r="C251" s="56">
        <v>2002</v>
      </c>
      <c r="D251" t="str">
        <f>VLOOKUP(C251,Sheet5!$A$1:$B$22,2,0)</f>
        <v>充值奖励</v>
      </c>
    </row>
    <row r="252" spans="1:4" ht="16.5" x14ac:dyDescent="0.15">
      <c r="A252" s="56" t="s">
        <v>59</v>
      </c>
      <c r="B252" s="56">
        <v>1532</v>
      </c>
      <c r="C252" s="56">
        <v>1001</v>
      </c>
      <c r="D252" t="str">
        <f>VLOOKUP(C252,Sheet5!$A$1:$B$22,2,0)</f>
        <v>纳贤</v>
      </c>
    </row>
    <row r="253" spans="1:4" ht="16.5" x14ac:dyDescent="0.15">
      <c r="A253" s="56" t="s">
        <v>291</v>
      </c>
      <c r="B253" s="56">
        <v>1609</v>
      </c>
      <c r="C253" s="56">
        <v>1001</v>
      </c>
      <c r="D253" t="str">
        <f>VLOOKUP(C253,Sheet5!$A$1:$B$22,2,0)</f>
        <v>纳贤</v>
      </c>
    </row>
    <row r="254" spans="1:4" ht="16.5" x14ac:dyDescent="0.15">
      <c r="A254" s="56" t="s">
        <v>750</v>
      </c>
      <c r="B254" s="56">
        <v>1351</v>
      </c>
      <c r="C254" s="56">
        <v>2002</v>
      </c>
      <c r="D254" t="str">
        <f>VLOOKUP(C254,Sheet5!$A$1:$B$22,2,0)</f>
        <v>充值奖励</v>
      </c>
    </row>
    <row r="255" spans="1:4" ht="16.5" x14ac:dyDescent="0.15">
      <c r="A255" s="56" t="s">
        <v>33</v>
      </c>
      <c r="B255" s="56">
        <v>223</v>
      </c>
      <c r="C255" s="56">
        <v>1003</v>
      </c>
      <c r="D255" t="str">
        <f>VLOOKUP(C255,Sheet5!$A$1:$B$22,2,0)</f>
        <v>珍宝</v>
      </c>
    </row>
    <row r="256" spans="1:4" ht="16.5" x14ac:dyDescent="0.15">
      <c r="A256" s="56" t="s">
        <v>60</v>
      </c>
      <c r="B256" s="56">
        <v>1505</v>
      </c>
      <c r="C256" s="56">
        <v>1001</v>
      </c>
      <c r="D256" t="str">
        <f>VLOOKUP(C256,Sheet5!$A$1:$B$22,2,0)</f>
        <v>纳贤</v>
      </c>
    </row>
    <row r="257" spans="1:4" ht="16.5" x14ac:dyDescent="0.15">
      <c r="A257" s="56" t="s">
        <v>34</v>
      </c>
      <c r="B257" s="56">
        <v>1725</v>
      </c>
      <c r="C257" s="57">
        <v>1101</v>
      </c>
      <c r="D257" t="str">
        <f>VLOOKUP(C257,Sheet5!$A$1:$B$22,2,0)</f>
        <v>宝玉兑换</v>
      </c>
    </row>
    <row r="258" spans="1:4" ht="16.5" x14ac:dyDescent="0.15">
      <c r="A258" s="56" t="s">
        <v>591</v>
      </c>
      <c r="B258" s="56">
        <v>502</v>
      </c>
      <c r="C258" s="56">
        <v>23</v>
      </c>
      <c r="D258" t="str">
        <f>VLOOKUP(C258,Sheet5!$A$1:$B$22,2,0)</f>
        <v>武将收集</v>
      </c>
    </row>
    <row r="259" spans="1:4" ht="16.5" x14ac:dyDescent="0.15">
      <c r="A259" s="56" t="s">
        <v>376</v>
      </c>
      <c r="B259" s="56">
        <v>534</v>
      </c>
      <c r="C259" s="56">
        <v>103</v>
      </c>
      <c r="D259" t="str">
        <f>VLOOKUP(C259,Sheet5!$A$1:$B$22,2,0)</f>
        <v>官阶</v>
      </c>
    </row>
    <row r="260" spans="1:4" ht="16.5" x14ac:dyDescent="0.15">
      <c r="A260" s="56" t="s">
        <v>241</v>
      </c>
      <c r="B260" s="56">
        <v>1051</v>
      </c>
      <c r="C260" s="56">
        <v>103</v>
      </c>
      <c r="D260" t="str">
        <f>VLOOKUP(C260,Sheet5!$A$1:$B$22,2,0)</f>
        <v>官阶</v>
      </c>
    </row>
    <row r="261" spans="1:4" ht="16.5" x14ac:dyDescent="0.15">
      <c r="A261" s="56" t="s">
        <v>347</v>
      </c>
      <c r="B261" s="56">
        <v>1056</v>
      </c>
      <c r="C261" s="56">
        <v>103</v>
      </c>
      <c r="D261" t="str">
        <f>VLOOKUP(C261,Sheet5!$A$1:$B$22,2,0)</f>
        <v>官阶</v>
      </c>
    </row>
    <row r="262" spans="1:4" ht="16.5" x14ac:dyDescent="0.15">
      <c r="A262" s="56" t="s">
        <v>383</v>
      </c>
      <c r="B262" s="56">
        <v>1061</v>
      </c>
      <c r="C262" s="56">
        <v>103</v>
      </c>
      <c r="D262" t="str">
        <f>VLOOKUP(C262,Sheet5!$A$1:$B$22,2,0)</f>
        <v>官阶</v>
      </c>
    </row>
    <row r="263" spans="1:4" ht="16.5" x14ac:dyDescent="0.15">
      <c r="A263" s="56" t="s">
        <v>331</v>
      </c>
      <c r="B263" s="56">
        <v>1074</v>
      </c>
      <c r="C263" s="56">
        <v>103</v>
      </c>
      <c r="D263" t="str">
        <f>VLOOKUP(C263,Sheet5!$A$1:$B$22,2,0)</f>
        <v>官阶</v>
      </c>
    </row>
    <row r="264" spans="1:4" ht="16.5" x14ac:dyDescent="0.15">
      <c r="A264" s="56" t="s">
        <v>560</v>
      </c>
      <c r="B264" s="56">
        <v>1350</v>
      </c>
      <c r="C264" s="56">
        <v>103</v>
      </c>
      <c r="D264" t="str">
        <f>VLOOKUP(C264,Sheet5!$A$1:$B$22,2,0)</f>
        <v>官阶</v>
      </c>
    </row>
    <row r="265" spans="1:4" ht="16.5" x14ac:dyDescent="0.15">
      <c r="A265" s="56" t="s">
        <v>66</v>
      </c>
      <c r="B265" s="56">
        <v>1095</v>
      </c>
      <c r="C265" s="56">
        <v>1001</v>
      </c>
      <c r="D265" t="str">
        <f>VLOOKUP(C265,Sheet5!$A$1:$B$22,2,0)</f>
        <v>纳贤</v>
      </c>
    </row>
    <row r="266" spans="1:4" ht="16.5" x14ac:dyDescent="0.15">
      <c r="A266" s="56" t="s">
        <v>67</v>
      </c>
      <c r="B266" s="56">
        <v>1238</v>
      </c>
      <c r="C266" s="56">
        <v>1004</v>
      </c>
      <c r="D266" t="str">
        <f>VLOOKUP(C266,Sheet5!$A$1:$B$22,2,0)</f>
        <v>祈福</v>
      </c>
    </row>
    <row r="267" spans="1:4" ht="16.5" x14ac:dyDescent="0.15">
      <c r="A267" s="56" t="s">
        <v>180</v>
      </c>
      <c r="B267" s="56">
        <v>1097</v>
      </c>
      <c r="C267" s="56">
        <v>1001</v>
      </c>
      <c r="D267" t="str">
        <f>VLOOKUP(C267,Sheet5!$A$1:$B$22,2,0)</f>
        <v>纳贤</v>
      </c>
    </row>
    <row r="268" spans="1:4" ht="16.5" x14ac:dyDescent="0.15">
      <c r="A268" s="56" t="s">
        <v>65</v>
      </c>
      <c r="B268" s="56">
        <v>2203</v>
      </c>
      <c r="C268" s="56">
        <v>1003</v>
      </c>
      <c r="D268" t="str">
        <f>VLOOKUP(C268,Sheet5!$A$1:$B$22,2,0)</f>
        <v>珍宝</v>
      </c>
    </row>
    <row r="269" spans="1:4" ht="16.5" x14ac:dyDescent="0.15">
      <c r="A269" s="56" t="s">
        <v>64</v>
      </c>
      <c r="B269" s="56">
        <v>1096</v>
      </c>
      <c r="C269" s="56">
        <v>1001</v>
      </c>
      <c r="D269" t="str">
        <f>VLOOKUP(C269,Sheet5!$A$1:$B$22,2,0)</f>
        <v>纳贤</v>
      </c>
    </row>
    <row r="270" spans="1:4" ht="16.5" x14ac:dyDescent="0.15">
      <c r="A270" s="56" t="s">
        <v>102</v>
      </c>
      <c r="B270" s="56">
        <v>1660</v>
      </c>
      <c r="C270" s="56">
        <v>2002</v>
      </c>
      <c r="D270" t="str">
        <f>VLOOKUP(C270,Sheet5!$A$1:$B$22,2,0)</f>
        <v>充值奖励</v>
      </c>
    </row>
    <row r="271" spans="1:4" ht="16.5" x14ac:dyDescent="0.15">
      <c r="A271" s="56" t="s">
        <v>296</v>
      </c>
      <c r="B271" s="56">
        <v>1673</v>
      </c>
      <c r="C271" s="56">
        <v>1001</v>
      </c>
      <c r="D271" t="str">
        <f>VLOOKUP(C271,Sheet5!$A$1:$B$22,2,0)</f>
        <v>纳贤</v>
      </c>
    </row>
    <row r="272" spans="1:4" ht="16.5" x14ac:dyDescent="0.15">
      <c r="A272" s="56" t="s">
        <v>10</v>
      </c>
      <c r="B272" s="56">
        <v>1740</v>
      </c>
      <c r="C272" s="56">
        <v>1001</v>
      </c>
      <c r="D272" t="str">
        <f>VLOOKUP(C272,Sheet5!$A$1:$B$22,2,0)</f>
        <v>纳贤</v>
      </c>
    </row>
    <row r="273" spans="1:4" ht="16.5" x14ac:dyDescent="0.15">
      <c r="A273" s="56" t="s">
        <v>68</v>
      </c>
      <c r="B273" s="56">
        <v>1637</v>
      </c>
      <c r="C273" s="56">
        <v>1003</v>
      </c>
      <c r="D273" t="str">
        <f>VLOOKUP(C273,Sheet5!$A$1:$B$22,2,0)</f>
        <v>珍宝</v>
      </c>
    </row>
    <row r="274" spans="1:4" ht="16.5" x14ac:dyDescent="0.15">
      <c r="A274" s="56" t="s">
        <v>118</v>
      </c>
      <c r="B274" s="56">
        <v>1741</v>
      </c>
      <c r="C274" s="56">
        <v>1002</v>
      </c>
      <c r="D274" t="str">
        <f>VLOOKUP(C274,Sheet5!$A$1:$B$22,2,0)</f>
        <v>如意签</v>
      </c>
    </row>
    <row r="275" spans="1:4" ht="16.5" x14ac:dyDescent="0.15">
      <c r="A275" s="56" t="s">
        <v>293</v>
      </c>
      <c r="B275" s="56">
        <v>1228</v>
      </c>
      <c r="C275" s="56">
        <v>1001</v>
      </c>
      <c r="D275" t="str">
        <f>VLOOKUP(C275,Sheet5!$A$1:$B$22,2,0)</f>
        <v>纳贤</v>
      </c>
    </row>
    <row r="276" spans="1:4" ht="16.5" x14ac:dyDescent="0.15">
      <c r="A276" s="56" t="s">
        <v>294</v>
      </c>
      <c r="B276" s="56">
        <v>1189</v>
      </c>
      <c r="C276" s="56">
        <v>2001</v>
      </c>
      <c r="D276" t="str">
        <f>VLOOKUP(C276,Sheet5!$A$1:$B$22,2,0)</f>
        <v>砸蛋</v>
      </c>
    </row>
    <row r="277" spans="1:4" ht="16.5" x14ac:dyDescent="0.15">
      <c r="A277" s="56" t="s">
        <v>299</v>
      </c>
      <c r="B277" s="56">
        <v>1722</v>
      </c>
      <c r="C277" s="56">
        <v>2002</v>
      </c>
      <c r="D277" t="str">
        <f>VLOOKUP(C277,Sheet5!$A$1:$B$22,2,0)</f>
        <v>充值奖励</v>
      </c>
    </row>
    <row r="278" spans="1:4" ht="16.5" x14ac:dyDescent="0.15">
      <c r="A278" s="29" t="s">
        <v>308</v>
      </c>
      <c r="B278" s="58">
        <v>2205</v>
      </c>
      <c r="C278" s="56">
        <v>1004</v>
      </c>
      <c r="D278" t="str">
        <f>VLOOKUP(C278,Sheet5!$A$1:$B$22,2,0)</f>
        <v>祈福</v>
      </c>
    </row>
    <row r="279" spans="1:4" ht="16.5" x14ac:dyDescent="0.15">
      <c r="A279" s="56" t="s">
        <v>295</v>
      </c>
      <c r="B279" s="56">
        <v>1249</v>
      </c>
      <c r="C279" s="56">
        <v>1001</v>
      </c>
      <c r="D279" t="str">
        <f>VLOOKUP(C279,Sheet5!$A$1:$B$22,2,0)</f>
        <v>纳贤</v>
      </c>
    </row>
    <row r="280" spans="1:4" ht="16.5" x14ac:dyDescent="0.15">
      <c r="A280" s="29" t="s">
        <v>300</v>
      </c>
      <c r="B280" s="58">
        <v>1724</v>
      </c>
      <c r="C280" s="56">
        <v>2002</v>
      </c>
      <c r="D280" t="str">
        <f>VLOOKUP(C280,Sheet5!$A$1:$B$22,2,0)</f>
        <v>充值奖励</v>
      </c>
    </row>
    <row r="281" spans="1:4" ht="16.5" x14ac:dyDescent="0.15">
      <c r="A281" s="56" t="s">
        <v>292</v>
      </c>
      <c r="B281" s="56">
        <v>1353</v>
      </c>
      <c r="C281" s="56">
        <v>1001</v>
      </c>
      <c r="D281" t="str">
        <f>VLOOKUP(C281,Sheet5!$A$1:$B$22,2,0)</f>
        <v>纳贤</v>
      </c>
    </row>
    <row r="282" spans="1:4" ht="16.5" x14ac:dyDescent="0.15">
      <c r="A282" s="56" t="s">
        <v>286</v>
      </c>
      <c r="B282" s="56">
        <v>1126</v>
      </c>
      <c r="C282" s="56">
        <v>1001</v>
      </c>
      <c r="D282" t="str">
        <f>VLOOKUP(C282,Sheet5!$A$1:$B$22,2,0)</f>
        <v>纳贤</v>
      </c>
    </row>
    <row r="283" spans="1:4" ht="16.5" x14ac:dyDescent="0.15">
      <c r="A283" s="56" t="s">
        <v>303</v>
      </c>
      <c r="B283" s="56">
        <v>1791</v>
      </c>
      <c r="C283" s="56">
        <v>1001</v>
      </c>
      <c r="D283" t="str">
        <f>VLOOKUP(C283,Sheet5!$A$1:$B$22,2,0)</f>
        <v>纳贤</v>
      </c>
    </row>
    <row r="284" spans="1:4" ht="16.5" x14ac:dyDescent="0.15">
      <c r="A284" s="56" t="s">
        <v>25</v>
      </c>
      <c r="B284" s="56">
        <v>1781</v>
      </c>
      <c r="C284" s="56">
        <v>2002</v>
      </c>
      <c r="D284" t="str">
        <f>VLOOKUP(C284,Sheet5!$A$1:$B$22,2,0)</f>
        <v>充值奖励</v>
      </c>
    </row>
    <row r="285" spans="1:4" ht="16.5" x14ac:dyDescent="0.15">
      <c r="A285" s="56" t="s">
        <v>69</v>
      </c>
      <c r="B285" s="56">
        <v>1782</v>
      </c>
      <c r="C285" s="56">
        <v>1001</v>
      </c>
      <c r="D285" t="str">
        <f>VLOOKUP(C285,Sheet5!$A$1:$B$22,2,0)</f>
        <v>纳贤</v>
      </c>
    </row>
    <row r="286" spans="1:4" ht="16.5" x14ac:dyDescent="0.15">
      <c r="A286" s="56" t="s">
        <v>77</v>
      </c>
      <c r="B286" s="56">
        <v>1638</v>
      </c>
      <c r="C286" s="56">
        <v>1003</v>
      </c>
      <c r="D286" t="str">
        <f>VLOOKUP(C286,Sheet5!$A$1:$B$22,2,0)</f>
        <v>珍宝</v>
      </c>
    </row>
    <row r="287" spans="1:4" ht="16.5" x14ac:dyDescent="0.15">
      <c r="A287" s="56" t="s">
        <v>288</v>
      </c>
      <c r="B287" s="56">
        <v>654</v>
      </c>
      <c r="C287" s="56">
        <v>2002</v>
      </c>
      <c r="D287" t="str">
        <f>VLOOKUP(C287,Sheet5!$A$1:$B$22,2,0)</f>
        <v>充值奖励</v>
      </c>
    </row>
    <row r="288" spans="1:4" ht="16.5" x14ac:dyDescent="0.15">
      <c r="A288" s="56" t="s">
        <v>54</v>
      </c>
      <c r="B288" s="56">
        <v>1098</v>
      </c>
      <c r="C288" s="56">
        <v>1001</v>
      </c>
      <c r="D288" t="str">
        <f>VLOOKUP(C288,Sheet5!$A$1:$B$22,2,0)</f>
        <v>纳贤</v>
      </c>
    </row>
    <row r="289" spans="1:4" ht="16.5" x14ac:dyDescent="0.15">
      <c r="A289" s="56" t="s">
        <v>101</v>
      </c>
      <c r="B289" s="56">
        <v>1911</v>
      </c>
      <c r="C289" s="56">
        <v>5005</v>
      </c>
      <c r="D289" t="str">
        <f>VLOOKUP(C289,Sheet5!$A$1:$B$22,2,0)</f>
        <v>喵喵杀</v>
      </c>
    </row>
    <row r="290" spans="1:4" ht="16.5" x14ac:dyDescent="0.15">
      <c r="A290" s="56" t="s">
        <v>284</v>
      </c>
      <c r="B290" s="56">
        <v>218</v>
      </c>
      <c r="C290" s="56">
        <v>5006</v>
      </c>
      <c r="D290" t="str">
        <f>VLOOKUP(C290,Sheet5!$A$1:$B$22,2,0)</f>
        <v>活跃活动</v>
      </c>
    </row>
    <row r="291" spans="1:4" ht="16.5" x14ac:dyDescent="0.15">
      <c r="A291" s="29" t="s">
        <v>307</v>
      </c>
      <c r="B291" s="58">
        <v>1955</v>
      </c>
      <c r="C291" s="56">
        <v>2</v>
      </c>
      <c r="D291" t="str">
        <f>VLOOKUP(C291,Sheet5!$A$1:$B$22,2,0)</f>
        <v>将星招募</v>
      </c>
    </row>
    <row r="292" spans="1:4" ht="16.5" x14ac:dyDescent="0.15">
      <c r="A292" s="29" t="s">
        <v>11</v>
      </c>
      <c r="B292" s="58">
        <v>2222</v>
      </c>
      <c r="C292" s="56">
        <v>1003</v>
      </c>
      <c r="D292" t="str">
        <f>VLOOKUP(C292,Sheet5!$A$1:$B$22,2,0)</f>
        <v>珍宝</v>
      </c>
    </row>
    <row r="293" spans="1:4" ht="16.5" x14ac:dyDescent="0.15">
      <c r="A293" s="29" t="s">
        <v>63</v>
      </c>
      <c r="B293" s="58">
        <v>582</v>
      </c>
      <c r="C293" s="56">
        <v>1004</v>
      </c>
      <c r="D293" t="str">
        <f>VLOOKUP(C293,Sheet5!$A$1:$B$22,2,0)</f>
        <v>祈福</v>
      </c>
    </row>
    <row r="294" spans="1:4" ht="16.5" x14ac:dyDescent="0.15">
      <c r="A294" s="59" t="s">
        <v>103</v>
      </c>
      <c r="B294" s="56">
        <v>1250</v>
      </c>
      <c r="C294" s="56">
        <v>1001</v>
      </c>
      <c r="D294" t="str">
        <f>VLOOKUP(C294,Sheet5!$A$1:$B$22,2,0)</f>
        <v>纳贤</v>
      </c>
    </row>
    <row r="295" spans="1:4" ht="16.5" x14ac:dyDescent="0.15">
      <c r="A295" s="56" t="s">
        <v>287</v>
      </c>
      <c r="B295" s="56">
        <v>1037</v>
      </c>
      <c r="C295" s="56">
        <v>2002</v>
      </c>
      <c r="D295" t="str">
        <f>VLOOKUP(C295,Sheet5!$A$1:$B$22,2,0)</f>
        <v>充值奖励</v>
      </c>
    </row>
    <row r="296" spans="1:4" ht="16.5" x14ac:dyDescent="0.15">
      <c r="A296" s="56" t="s">
        <v>289</v>
      </c>
      <c r="B296" s="56">
        <v>1651</v>
      </c>
      <c r="C296" s="56">
        <v>1001</v>
      </c>
      <c r="D296" t="str">
        <f>VLOOKUP(C296,Sheet5!$A$1:$B$22,2,0)</f>
        <v>纳贤</v>
      </c>
    </row>
    <row r="297" spans="1:4" ht="16.5" x14ac:dyDescent="0.15">
      <c r="A297" s="56" t="s">
        <v>301</v>
      </c>
      <c r="B297" s="56">
        <v>1674</v>
      </c>
      <c r="C297" s="56">
        <v>1001</v>
      </c>
      <c r="D297" t="str">
        <f>VLOOKUP(C297,Sheet5!$A$1:$B$22,2,0)</f>
        <v>纳贤</v>
      </c>
    </row>
    <row r="298" spans="1:4" ht="16.5" x14ac:dyDescent="0.15">
      <c r="A298" s="60" t="s">
        <v>119</v>
      </c>
      <c r="B298" s="56">
        <v>1683</v>
      </c>
      <c r="C298" s="56">
        <v>1001</v>
      </c>
      <c r="D298" t="str">
        <f>VLOOKUP(C298,Sheet5!$A$1:$B$22,2,0)</f>
        <v>纳贤</v>
      </c>
    </row>
    <row r="299" spans="1:4" ht="16.5" x14ac:dyDescent="0.15">
      <c r="A299" s="60" t="s">
        <v>56</v>
      </c>
      <c r="B299" s="60">
        <v>224</v>
      </c>
      <c r="C299" s="56">
        <v>1003</v>
      </c>
      <c r="D299" t="str">
        <f>VLOOKUP(C299,Sheet5!$A$1:$B$22,2,0)</f>
        <v>珍宝</v>
      </c>
    </row>
    <row r="300" spans="1:4" ht="16.5" x14ac:dyDescent="0.15">
      <c r="A300" s="60" t="s">
        <v>166</v>
      </c>
      <c r="B300" s="56">
        <v>1352</v>
      </c>
      <c r="C300" s="56">
        <v>1002</v>
      </c>
      <c r="D300" t="str">
        <f>VLOOKUP(C300,Sheet5!$A$1:$B$22,2,0)</f>
        <v>如意签</v>
      </c>
    </row>
    <row r="301" spans="1:4" ht="16.5" x14ac:dyDescent="0.15">
      <c r="A301" s="56" t="s">
        <v>304</v>
      </c>
      <c r="B301" s="56">
        <v>1783</v>
      </c>
      <c r="C301" s="56">
        <v>1001</v>
      </c>
      <c r="D301" t="str">
        <f>VLOOKUP(C301,Sheet5!$A$1:$B$22,2,0)</f>
        <v>纳贤</v>
      </c>
    </row>
    <row r="302" spans="1:4" ht="16.5" x14ac:dyDescent="0.15">
      <c r="A302" s="60" t="s">
        <v>310</v>
      </c>
      <c r="B302" s="56">
        <v>2236</v>
      </c>
      <c r="C302" s="56">
        <v>1004</v>
      </c>
      <c r="D302" t="str">
        <f>VLOOKUP(C302,Sheet5!$A$1:$B$22,2,0)</f>
        <v>祈福</v>
      </c>
    </row>
    <row r="303" spans="1:4" ht="16.5" x14ac:dyDescent="0.15">
      <c r="A303" s="60" t="s">
        <v>309</v>
      </c>
      <c r="B303" s="56">
        <v>2223</v>
      </c>
      <c r="C303" s="56">
        <v>1003</v>
      </c>
      <c r="D303" t="str">
        <f>VLOOKUP(C303,Sheet5!$A$1:$B$22,2,0)</f>
        <v>珍宝</v>
      </c>
    </row>
    <row r="304" spans="1:4" ht="16.5" x14ac:dyDescent="0.15">
      <c r="A304" s="60" t="s">
        <v>305</v>
      </c>
      <c r="B304" s="56">
        <v>1850</v>
      </c>
      <c r="C304" s="56">
        <v>1001</v>
      </c>
      <c r="D304" t="str">
        <f>VLOOKUP(C304,Sheet5!$A$1:$B$22,2,0)</f>
        <v>纳贤</v>
      </c>
    </row>
    <row r="305" spans="1:4" ht="16.5" x14ac:dyDescent="0.15">
      <c r="A305" s="60" t="s">
        <v>298</v>
      </c>
      <c r="B305" s="56">
        <v>1712</v>
      </c>
      <c r="C305" s="56">
        <v>2002</v>
      </c>
      <c r="D305" t="str">
        <f>VLOOKUP(C305,Sheet5!$A$1:$B$22,2,0)</f>
        <v>充值奖励</v>
      </c>
    </row>
    <row r="306" spans="1:4" ht="16.5" x14ac:dyDescent="0.15">
      <c r="A306" s="60" t="s">
        <v>306</v>
      </c>
      <c r="B306" s="56">
        <v>1792</v>
      </c>
      <c r="C306" s="56">
        <v>1001</v>
      </c>
      <c r="D306" t="str">
        <f>VLOOKUP(C306,Sheet5!$A$1:$B$22,2,0)</f>
        <v>纳贤</v>
      </c>
    </row>
    <row r="307" spans="1:4" ht="16.5" x14ac:dyDescent="0.15">
      <c r="A307" s="60" t="s">
        <v>297</v>
      </c>
      <c r="B307" s="56">
        <v>1703</v>
      </c>
      <c r="C307" s="56">
        <v>2002</v>
      </c>
      <c r="D307" t="str">
        <f>VLOOKUP(C307,Sheet5!$A$1:$B$22,2,0)</f>
        <v>充值奖励</v>
      </c>
    </row>
    <row r="308" spans="1:4" ht="16.5" x14ac:dyDescent="0.15">
      <c r="A308" s="29" t="s">
        <v>290</v>
      </c>
      <c r="B308" s="56">
        <v>1639</v>
      </c>
      <c r="C308" s="56">
        <v>1003</v>
      </c>
      <c r="D308" t="str">
        <f>VLOOKUP(C308,Sheet5!$A$1:$B$22,2,0)</f>
        <v>珍宝</v>
      </c>
    </row>
    <row r="309" spans="1:4" ht="16.5" x14ac:dyDescent="0.15">
      <c r="A309" s="29" t="s">
        <v>312</v>
      </c>
      <c r="B309" s="56">
        <v>2317</v>
      </c>
      <c r="C309" s="56">
        <v>1001</v>
      </c>
      <c r="D309" t="str">
        <f>VLOOKUP(C309,Sheet5!$A$1:$B$22,2,0)</f>
        <v>纳贤</v>
      </c>
    </row>
  </sheetData>
  <phoneticPr fontId="2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65"/>
  <sheetViews>
    <sheetView workbookViewId="0">
      <selection activeCell="B536" sqref="B536"/>
    </sheetView>
  </sheetViews>
  <sheetFormatPr defaultColWidth="9" defaultRowHeight="13.5" x14ac:dyDescent="0.15"/>
  <cols>
    <col min="1" max="4" width="16.125" style="3" customWidth="1"/>
  </cols>
  <sheetData>
    <row r="1" spans="1:5" ht="16.5" x14ac:dyDescent="0.15">
      <c r="A1" s="31" t="s">
        <v>777</v>
      </c>
      <c r="B1" s="31" t="s">
        <v>778</v>
      </c>
      <c r="C1" s="31" t="s">
        <v>779</v>
      </c>
      <c r="D1" s="31" t="s">
        <v>780</v>
      </c>
      <c r="E1" t="s">
        <v>781</v>
      </c>
    </row>
    <row r="2" spans="1:5" ht="16.5" x14ac:dyDescent="0.15">
      <c r="A2" s="32">
        <v>400010</v>
      </c>
      <c r="B2" s="33" t="s">
        <v>579</v>
      </c>
      <c r="C2" s="32" t="s">
        <v>782</v>
      </c>
      <c r="D2" s="33">
        <v>1</v>
      </c>
    </row>
    <row r="3" spans="1:5" ht="16.5" x14ac:dyDescent="0.15">
      <c r="A3" s="32">
        <v>400020</v>
      </c>
      <c r="B3" s="33" t="s">
        <v>751</v>
      </c>
      <c r="C3" s="32" t="s">
        <v>782</v>
      </c>
      <c r="D3" s="33">
        <v>2</v>
      </c>
    </row>
    <row r="4" spans="1:5" ht="16.5" x14ac:dyDescent="0.15">
      <c r="A4" s="32">
        <v>400030</v>
      </c>
      <c r="B4" s="33" t="s">
        <v>727</v>
      </c>
      <c r="C4" s="32" t="s">
        <v>782</v>
      </c>
      <c r="D4" s="33">
        <v>3</v>
      </c>
    </row>
    <row r="5" spans="1:5" ht="16.5" x14ac:dyDescent="0.15">
      <c r="A5" s="32">
        <v>400040</v>
      </c>
      <c r="B5" s="33" t="s">
        <v>674</v>
      </c>
      <c r="C5" s="32" t="s">
        <v>782</v>
      </c>
      <c r="D5" s="33">
        <v>4</v>
      </c>
    </row>
    <row r="6" spans="1:5" ht="16.5" x14ac:dyDescent="0.15">
      <c r="A6" s="32">
        <v>400050</v>
      </c>
      <c r="B6" s="33" t="s">
        <v>720</v>
      </c>
      <c r="C6" s="32" t="s">
        <v>782</v>
      </c>
      <c r="D6" s="33">
        <v>5</v>
      </c>
    </row>
    <row r="7" spans="1:5" ht="16.5" x14ac:dyDescent="0.15">
      <c r="A7" s="32">
        <v>400060</v>
      </c>
      <c r="B7" s="33" t="s">
        <v>695</v>
      </c>
      <c r="C7" s="32" t="s">
        <v>782</v>
      </c>
      <c r="D7" s="33">
        <v>6</v>
      </c>
    </row>
    <row r="8" spans="1:5" ht="16.5" x14ac:dyDescent="0.15">
      <c r="A8" s="32">
        <v>400070</v>
      </c>
      <c r="B8" s="33" t="s">
        <v>667</v>
      </c>
      <c r="C8" s="32" t="s">
        <v>782</v>
      </c>
      <c r="D8" s="33">
        <v>7</v>
      </c>
    </row>
    <row r="9" spans="1:5" ht="16.5" x14ac:dyDescent="0.15">
      <c r="A9" s="32">
        <v>400080</v>
      </c>
      <c r="B9" s="33" t="s">
        <v>653</v>
      </c>
      <c r="C9" s="32" t="s">
        <v>782</v>
      </c>
      <c r="D9" s="33">
        <v>8</v>
      </c>
    </row>
    <row r="10" spans="1:5" ht="16.5" x14ac:dyDescent="0.15">
      <c r="A10" s="32">
        <v>400090</v>
      </c>
      <c r="B10" s="33" t="s">
        <v>739</v>
      </c>
      <c r="C10" s="32" t="s">
        <v>782</v>
      </c>
      <c r="D10" s="33">
        <v>9</v>
      </c>
    </row>
    <row r="11" spans="1:5" ht="16.5" x14ac:dyDescent="0.15">
      <c r="A11" s="32">
        <v>400100</v>
      </c>
      <c r="B11" s="33" t="s">
        <v>741</v>
      </c>
      <c r="C11" s="32" t="s">
        <v>782</v>
      </c>
      <c r="D11" s="33">
        <v>10</v>
      </c>
    </row>
    <row r="12" spans="1:5" ht="16.5" x14ac:dyDescent="0.15">
      <c r="A12" s="32">
        <v>400110</v>
      </c>
      <c r="B12" s="33" t="s">
        <v>735</v>
      </c>
      <c r="C12" s="32" t="s">
        <v>782</v>
      </c>
      <c r="D12" s="33">
        <v>11</v>
      </c>
    </row>
    <row r="13" spans="1:5" ht="16.5" x14ac:dyDescent="0.15">
      <c r="A13" s="32">
        <v>400120</v>
      </c>
      <c r="B13" s="33" t="s">
        <v>718</v>
      </c>
      <c r="C13" s="32" t="s">
        <v>782</v>
      </c>
      <c r="D13" s="33">
        <v>12</v>
      </c>
    </row>
    <row r="14" spans="1:5" ht="16.5" x14ac:dyDescent="0.15">
      <c r="A14" s="32">
        <v>400130</v>
      </c>
      <c r="B14" s="33" t="s">
        <v>654</v>
      </c>
      <c r="C14" s="32" t="s">
        <v>782</v>
      </c>
      <c r="D14" s="33">
        <v>13</v>
      </c>
    </row>
    <row r="15" spans="1:5" ht="16.5" x14ac:dyDescent="0.15">
      <c r="A15" s="32">
        <v>400140</v>
      </c>
      <c r="B15" s="33" t="s">
        <v>707</v>
      </c>
      <c r="C15" s="32" t="s">
        <v>782</v>
      </c>
      <c r="D15" s="33">
        <v>14</v>
      </c>
    </row>
    <row r="16" spans="1:5" ht="16.5" x14ac:dyDescent="0.15">
      <c r="A16" s="32">
        <v>400150</v>
      </c>
      <c r="B16" s="33" t="s">
        <v>655</v>
      </c>
      <c r="C16" s="32" t="s">
        <v>782</v>
      </c>
      <c r="D16" s="33">
        <v>15</v>
      </c>
    </row>
    <row r="17" spans="1:4" ht="16.5" x14ac:dyDescent="0.15">
      <c r="A17" s="32">
        <v>400160</v>
      </c>
      <c r="B17" s="33" t="s">
        <v>696</v>
      </c>
      <c r="C17" s="32" t="s">
        <v>782</v>
      </c>
      <c r="D17" s="33">
        <v>16</v>
      </c>
    </row>
    <row r="18" spans="1:4" ht="16.5" x14ac:dyDescent="0.15">
      <c r="A18" s="32">
        <v>400170</v>
      </c>
      <c r="B18" s="33" t="s">
        <v>542</v>
      </c>
      <c r="C18" s="32" t="s">
        <v>782</v>
      </c>
      <c r="D18" s="33">
        <v>17</v>
      </c>
    </row>
    <row r="19" spans="1:4" ht="16.5" x14ac:dyDescent="0.15">
      <c r="A19" s="32">
        <v>400180</v>
      </c>
      <c r="B19" s="33" t="s">
        <v>663</v>
      </c>
      <c r="C19" s="32" t="s">
        <v>782</v>
      </c>
      <c r="D19" s="33">
        <v>18</v>
      </c>
    </row>
    <row r="20" spans="1:4" ht="16.5" x14ac:dyDescent="0.15">
      <c r="A20" s="32">
        <v>400190</v>
      </c>
      <c r="B20" s="33" t="s">
        <v>464</v>
      </c>
      <c r="C20" s="32" t="s">
        <v>782</v>
      </c>
      <c r="D20" s="33">
        <v>19</v>
      </c>
    </row>
    <row r="21" spans="1:4" ht="16.5" x14ac:dyDescent="0.15">
      <c r="A21" s="32">
        <v>400200</v>
      </c>
      <c r="B21" s="33" t="s">
        <v>742</v>
      </c>
      <c r="C21" s="32" t="s">
        <v>782</v>
      </c>
      <c r="D21" s="33">
        <v>20</v>
      </c>
    </row>
    <row r="22" spans="1:4" ht="16.5" x14ac:dyDescent="0.15">
      <c r="A22" s="32">
        <v>400210</v>
      </c>
      <c r="B22" s="33" t="s">
        <v>532</v>
      </c>
      <c r="C22" s="32" t="s">
        <v>782</v>
      </c>
      <c r="D22" s="33">
        <v>21</v>
      </c>
    </row>
    <row r="23" spans="1:4" ht="16.5" x14ac:dyDescent="0.15">
      <c r="A23" s="32">
        <v>400220</v>
      </c>
      <c r="B23" s="33" t="s">
        <v>563</v>
      </c>
      <c r="C23" s="32" t="s">
        <v>782</v>
      </c>
      <c r="D23" s="33">
        <v>22</v>
      </c>
    </row>
    <row r="24" spans="1:4" ht="16.5" x14ac:dyDescent="0.15">
      <c r="A24" s="32">
        <v>400230</v>
      </c>
      <c r="B24" s="33" t="s">
        <v>640</v>
      </c>
      <c r="C24" s="32" t="s">
        <v>782</v>
      </c>
      <c r="D24" s="33">
        <v>23</v>
      </c>
    </row>
    <row r="25" spans="1:4" ht="16.5" x14ac:dyDescent="0.15">
      <c r="A25" s="32">
        <v>400240</v>
      </c>
      <c r="B25" s="33" t="s">
        <v>677</v>
      </c>
      <c r="C25" s="32" t="s">
        <v>782</v>
      </c>
      <c r="D25" s="33">
        <v>24</v>
      </c>
    </row>
    <row r="26" spans="1:4" ht="16.5" x14ac:dyDescent="0.15">
      <c r="A26" s="32">
        <v>400250</v>
      </c>
      <c r="B26" s="33" t="s">
        <v>522</v>
      </c>
      <c r="C26" s="32" t="s">
        <v>782</v>
      </c>
      <c r="D26" s="33">
        <v>25</v>
      </c>
    </row>
    <row r="27" spans="1:4" ht="16.5" x14ac:dyDescent="0.15">
      <c r="A27" s="32">
        <v>400260</v>
      </c>
      <c r="B27" s="33" t="s">
        <v>724</v>
      </c>
      <c r="C27" s="32" t="s">
        <v>782</v>
      </c>
      <c r="D27" s="33">
        <v>26</v>
      </c>
    </row>
    <row r="28" spans="1:4" ht="16.5" x14ac:dyDescent="0.15">
      <c r="A28" s="32">
        <v>400270</v>
      </c>
      <c r="B28" s="33" t="s">
        <v>449</v>
      </c>
      <c r="C28" s="32" t="s">
        <v>782</v>
      </c>
      <c r="D28" s="33">
        <v>27</v>
      </c>
    </row>
    <row r="29" spans="1:4" ht="16.5" x14ac:dyDescent="0.15">
      <c r="A29" s="32">
        <v>400280</v>
      </c>
      <c r="B29" s="33" t="s">
        <v>611</v>
      </c>
      <c r="C29" s="32" t="s">
        <v>782</v>
      </c>
      <c r="D29" s="33">
        <v>28</v>
      </c>
    </row>
    <row r="30" spans="1:4" ht="16.5" x14ac:dyDescent="0.15">
      <c r="A30" s="32">
        <v>400290</v>
      </c>
      <c r="B30" s="33" t="s">
        <v>721</v>
      </c>
      <c r="C30" s="32" t="s">
        <v>782</v>
      </c>
      <c r="D30" s="33">
        <v>29</v>
      </c>
    </row>
    <row r="31" spans="1:4" ht="16.5" x14ac:dyDescent="0.15">
      <c r="A31" s="32">
        <v>400300</v>
      </c>
      <c r="B31" s="33" t="s">
        <v>404</v>
      </c>
      <c r="C31" s="32" t="s">
        <v>782</v>
      </c>
      <c r="D31" s="33">
        <v>30</v>
      </c>
    </row>
    <row r="32" spans="1:4" ht="16.5" x14ac:dyDescent="0.15">
      <c r="A32" s="32">
        <v>400310</v>
      </c>
      <c r="B32" s="33" t="s">
        <v>561</v>
      </c>
      <c r="C32" s="32" t="s">
        <v>782</v>
      </c>
      <c r="D32" s="33">
        <v>31</v>
      </c>
    </row>
    <row r="33" spans="1:4" ht="16.5" x14ac:dyDescent="0.15">
      <c r="A33" s="32">
        <v>400320</v>
      </c>
      <c r="B33" s="33" t="s">
        <v>431</v>
      </c>
      <c r="C33" s="32" t="s">
        <v>782</v>
      </c>
      <c r="D33" s="33">
        <v>32</v>
      </c>
    </row>
    <row r="34" spans="1:4" ht="16.5" x14ac:dyDescent="0.15">
      <c r="A34" s="32">
        <v>400330</v>
      </c>
      <c r="B34" s="33" t="s">
        <v>604</v>
      </c>
      <c r="C34" s="32" t="s">
        <v>782</v>
      </c>
      <c r="D34" s="33">
        <v>33</v>
      </c>
    </row>
    <row r="35" spans="1:4" ht="16.5" x14ac:dyDescent="0.15">
      <c r="A35" s="32">
        <v>400340</v>
      </c>
      <c r="B35" s="33" t="s">
        <v>713</v>
      </c>
      <c r="C35" s="32" t="s">
        <v>782</v>
      </c>
      <c r="D35" s="33">
        <v>34</v>
      </c>
    </row>
    <row r="36" spans="1:4" ht="16.5" x14ac:dyDescent="0.15">
      <c r="A36" s="32">
        <v>400350</v>
      </c>
      <c r="B36" s="33" t="s">
        <v>680</v>
      </c>
      <c r="C36" s="32" t="s">
        <v>782</v>
      </c>
      <c r="D36" s="33">
        <v>35</v>
      </c>
    </row>
    <row r="37" spans="1:4" ht="16.5" x14ac:dyDescent="0.15">
      <c r="A37" s="32">
        <v>400360</v>
      </c>
      <c r="B37" s="33" t="s">
        <v>580</v>
      </c>
      <c r="C37" s="32" t="s">
        <v>782</v>
      </c>
      <c r="D37" s="33">
        <v>36</v>
      </c>
    </row>
    <row r="38" spans="1:4" ht="16.5" x14ac:dyDescent="0.15">
      <c r="A38" s="32">
        <v>400370</v>
      </c>
      <c r="B38" s="33" t="s">
        <v>633</v>
      </c>
      <c r="C38" s="32" t="s">
        <v>782</v>
      </c>
      <c r="D38" s="33">
        <v>37</v>
      </c>
    </row>
    <row r="39" spans="1:4" ht="16.5" x14ac:dyDescent="0.15">
      <c r="A39" s="32">
        <v>400380</v>
      </c>
      <c r="B39" s="33" t="s">
        <v>693</v>
      </c>
      <c r="C39" s="32" t="s">
        <v>782</v>
      </c>
      <c r="D39" s="33">
        <v>38</v>
      </c>
    </row>
    <row r="40" spans="1:4" ht="16.5" x14ac:dyDescent="0.15">
      <c r="A40" s="32">
        <v>400390</v>
      </c>
      <c r="B40" s="33" t="s">
        <v>716</v>
      </c>
      <c r="C40" s="32" t="s">
        <v>782</v>
      </c>
      <c r="D40" s="33">
        <v>39</v>
      </c>
    </row>
    <row r="41" spans="1:4" ht="16.5" x14ac:dyDescent="0.15">
      <c r="A41" s="32">
        <v>400400</v>
      </c>
      <c r="B41" s="33" t="s">
        <v>558</v>
      </c>
      <c r="C41" s="32" t="s">
        <v>782</v>
      </c>
      <c r="D41" s="33">
        <v>40</v>
      </c>
    </row>
    <row r="42" spans="1:4" ht="16.5" x14ac:dyDescent="0.15">
      <c r="A42" s="32">
        <v>400410</v>
      </c>
      <c r="B42" s="33" t="s">
        <v>681</v>
      </c>
      <c r="C42" s="32" t="s">
        <v>782</v>
      </c>
      <c r="D42" s="33">
        <v>41</v>
      </c>
    </row>
    <row r="43" spans="1:4" ht="16.5" x14ac:dyDescent="0.15">
      <c r="A43" s="32">
        <v>400420</v>
      </c>
      <c r="B43" s="33" t="s">
        <v>726</v>
      </c>
      <c r="C43" s="32" t="s">
        <v>782</v>
      </c>
      <c r="D43" s="33">
        <v>42</v>
      </c>
    </row>
    <row r="44" spans="1:4" ht="16.5" x14ac:dyDescent="0.15">
      <c r="A44" s="32">
        <v>400430</v>
      </c>
      <c r="B44" s="33" t="s">
        <v>489</v>
      </c>
      <c r="C44" s="32" t="s">
        <v>782</v>
      </c>
      <c r="D44" s="33">
        <v>43</v>
      </c>
    </row>
    <row r="45" spans="1:4" ht="16.5" x14ac:dyDescent="0.15">
      <c r="A45" s="32">
        <v>400440</v>
      </c>
      <c r="B45" s="33" t="s">
        <v>683</v>
      </c>
      <c r="C45" s="32" t="s">
        <v>782</v>
      </c>
      <c r="D45" s="33">
        <v>44</v>
      </c>
    </row>
    <row r="46" spans="1:4" ht="16.5" x14ac:dyDescent="0.15">
      <c r="A46" s="32">
        <v>400450</v>
      </c>
      <c r="B46" s="33" t="s">
        <v>597</v>
      </c>
      <c r="C46" s="32" t="s">
        <v>782</v>
      </c>
      <c r="D46" s="33">
        <v>45</v>
      </c>
    </row>
    <row r="47" spans="1:4" ht="16.5" x14ac:dyDescent="0.15">
      <c r="A47" s="32">
        <v>400460</v>
      </c>
      <c r="B47" s="33" t="s">
        <v>607</v>
      </c>
      <c r="C47" s="32" t="s">
        <v>782</v>
      </c>
      <c r="D47" s="33">
        <v>46</v>
      </c>
    </row>
    <row r="48" spans="1:4" ht="16.5" x14ac:dyDescent="0.15">
      <c r="A48" s="32">
        <v>400470</v>
      </c>
      <c r="B48" s="33" t="s">
        <v>651</v>
      </c>
      <c r="C48" s="32" t="s">
        <v>782</v>
      </c>
      <c r="D48" s="33">
        <v>47</v>
      </c>
    </row>
    <row r="49" spans="1:4" ht="16.5" x14ac:dyDescent="0.15">
      <c r="A49" s="32">
        <v>400480</v>
      </c>
      <c r="B49" s="33" t="s">
        <v>688</v>
      </c>
      <c r="C49" s="32" t="s">
        <v>782</v>
      </c>
      <c r="D49" s="33">
        <v>48</v>
      </c>
    </row>
    <row r="50" spans="1:4" ht="16.5" x14ac:dyDescent="0.15">
      <c r="A50" s="32">
        <v>400490</v>
      </c>
      <c r="B50" s="33" t="s">
        <v>660</v>
      </c>
      <c r="C50" s="32" t="s">
        <v>782</v>
      </c>
      <c r="D50" s="33">
        <v>49</v>
      </c>
    </row>
    <row r="51" spans="1:4" ht="16.5" x14ac:dyDescent="0.15">
      <c r="A51" s="32">
        <v>400500</v>
      </c>
      <c r="B51" s="33" t="s">
        <v>567</v>
      </c>
      <c r="C51" s="32" t="s">
        <v>782</v>
      </c>
      <c r="D51" s="33">
        <v>50</v>
      </c>
    </row>
    <row r="52" spans="1:4" ht="16.5" x14ac:dyDescent="0.15">
      <c r="A52" s="32">
        <v>400510</v>
      </c>
      <c r="B52" s="33" t="s">
        <v>694</v>
      </c>
      <c r="C52" s="32" t="s">
        <v>782</v>
      </c>
      <c r="D52" s="33">
        <v>51</v>
      </c>
    </row>
    <row r="53" spans="1:4" ht="16.5" x14ac:dyDescent="0.15">
      <c r="A53" s="32">
        <v>400520</v>
      </c>
      <c r="B53" s="33" t="s">
        <v>602</v>
      </c>
      <c r="C53" s="32" t="s">
        <v>782</v>
      </c>
      <c r="D53" s="33">
        <v>52</v>
      </c>
    </row>
    <row r="54" spans="1:4" ht="16.5" x14ac:dyDescent="0.15">
      <c r="A54" s="32">
        <v>400530</v>
      </c>
      <c r="B54" s="33" t="s">
        <v>524</v>
      </c>
      <c r="C54" s="32" t="s">
        <v>782</v>
      </c>
      <c r="D54" s="33">
        <v>53</v>
      </c>
    </row>
    <row r="55" spans="1:4" ht="16.5" x14ac:dyDescent="0.15">
      <c r="A55" s="32">
        <v>400540</v>
      </c>
      <c r="B55" s="33" t="s">
        <v>520</v>
      </c>
      <c r="C55" s="32" t="s">
        <v>782</v>
      </c>
      <c r="D55" s="33">
        <v>54</v>
      </c>
    </row>
    <row r="56" spans="1:4" ht="16.5" x14ac:dyDescent="0.15">
      <c r="A56" s="32">
        <v>400550</v>
      </c>
      <c r="B56" s="33" t="s">
        <v>476</v>
      </c>
      <c r="C56" s="32" t="s">
        <v>782</v>
      </c>
      <c r="D56" s="33">
        <v>55</v>
      </c>
    </row>
    <row r="57" spans="1:4" ht="16.5" x14ac:dyDescent="0.15">
      <c r="A57" s="32">
        <v>400560</v>
      </c>
      <c r="B57" s="33" t="s">
        <v>638</v>
      </c>
      <c r="C57" s="32" t="s">
        <v>782</v>
      </c>
      <c r="D57" s="33">
        <v>56</v>
      </c>
    </row>
    <row r="58" spans="1:4" ht="16.5" x14ac:dyDescent="0.15">
      <c r="A58" s="32">
        <v>400570</v>
      </c>
      <c r="B58" s="32" t="s">
        <v>783</v>
      </c>
      <c r="C58" s="32" t="s">
        <v>782</v>
      </c>
      <c r="D58" s="32">
        <v>57</v>
      </c>
    </row>
    <row r="59" spans="1:4" ht="16.5" x14ac:dyDescent="0.15">
      <c r="A59" s="32">
        <v>400580</v>
      </c>
      <c r="B59" s="33" t="s">
        <v>598</v>
      </c>
      <c r="C59" s="32" t="s">
        <v>782</v>
      </c>
      <c r="D59" s="33">
        <v>58</v>
      </c>
    </row>
    <row r="60" spans="1:4" ht="16.5" x14ac:dyDescent="0.15">
      <c r="A60" s="32">
        <v>400900</v>
      </c>
      <c r="B60" s="32" t="s">
        <v>555</v>
      </c>
      <c r="C60" s="32" t="s">
        <v>782</v>
      </c>
      <c r="D60" s="32">
        <v>90</v>
      </c>
    </row>
    <row r="61" spans="1:4" ht="16.5" x14ac:dyDescent="0.15">
      <c r="A61" s="32">
        <v>400910</v>
      </c>
      <c r="B61" s="32" t="s">
        <v>473</v>
      </c>
      <c r="C61" s="32" t="s">
        <v>782</v>
      </c>
      <c r="D61" s="32">
        <v>91</v>
      </c>
    </row>
    <row r="62" spans="1:4" ht="16.5" x14ac:dyDescent="0.15">
      <c r="A62" s="32">
        <v>400920</v>
      </c>
      <c r="B62" s="32" t="s">
        <v>275</v>
      </c>
      <c r="C62" s="32" t="s">
        <v>782</v>
      </c>
      <c r="D62" s="32">
        <v>92</v>
      </c>
    </row>
    <row r="63" spans="1:4" ht="16.5" x14ac:dyDescent="0.15">
      <c r="A63" s="32">
        <v>400930</v>
      </c>
      <c r="B63" s="32" t="s">
        <v>746</v>
      </c>
      <c r="C63" s="32" t="s">
        <v>782</v>
      </c>
      <c r="D63" s="32">
        <v>93</v>
      </c>
    </row>
    <row r="64" spans="1:4" ht="16.5" x14ac:dyDescent="0.15">
      <c r="A64" s="32">
        <v>400940</v>
      </c>
      <c r="B64" s="32" t="s">
        <v>644</v>
      </c>
      <c r="C64" s="32" t="s">
        <v>782</v>
      </c>
      <c r="D64" s="32">
        <v>94</v>
      </c>
    </row>
    <row r="65" spans="1:4" ht="16.5" x14ac:dyDescent="0.15">
      <c r="A65" s="32">
        <v>400950</v>
      </c>
      <c r="B65" s="32" t="s">
        <v>650</v>
      </c>
      <c r="C65" s="32" t="s">
        <v>782</v>
      </c>
      <c r="D65" s="32">
        <v>95</v>
      </c>
    </row>
    <row r="66" spans="1:4" ht="16.5" x14ac:dyDescent="0.15">
      <c r="A66" s="32">
        <v>400960</v>
      </c>
      <c r="B66" s="32" t="s">
        <v>343</v>
      </c>
      <c r="C66" s="32" t="s">
        <v>782</v>
      </c>
      <c r="D66" s="32">
        <v>96</v>
      </c>
    </row>
    <row r="67" spans="1:4" ht="16.5" x14ac:dyDescent="0.15">
      <c r="A67" s="32">
        <v>400970</v>
      </c>
      <c r="B67" s="32" t="s">
        <v>743</v>
      </c>
      <c r="C67" s="32" t="s">
        <v>782</v>
      </c>
      <c r="D67" s="32">
        <v>97</v>
      </c>
    </row>
    <row r="68" spans="1:4" ht="16.5" x14ac:dyDescent="0.15">
      <c r="A68" s="32">
        <v>400980</v>
      </c>
      <c r="B68" s="32" t="s">
        <v>590</v>
      </c>
      <c r="C68" s="32" t="s">
        <v>782</v>
      </c>
      <c r="D68" s="32">
        <v>98</v>
      </c>
    </row>
    <row r="69" spans="1:4" ht="16.5" x14ac:dyDescent="0.15">
      <c r="A69" s="32">
        <v>400990</v>
      </c>
      <c r="B69" s="32" t="s">
        <v>364</v>
      </c>
      <c r="C69" s="32" t="s">
        <v>782</v>
      </c>
      <c r="D69" s="32">
        <v>99</v>
      </c>
    </row>
    <row r="70" spans="1:4" ht="16.5" x14ac:dyDescent="0.15">
      <c r="A70" s="32">
        <v>401000</v>
      </c>
      <c r="B70" s="32" t="s">
        <v>702</v>
      </c>
      <c r="C70" s="32" t="s">
        <v>782</v>
      </c>
      <c r="D70" s="32">
        <v>100</v>
      </c>
    </row>
    <row r="71" spans="1:4" ht="16.5" x14ac:dyDescent="0.15">
      <c r="A71" s="32">
        <v>401010</v>
      </c>
      <c r="B71" s="32" t="s">
        <v>433</v>
      </c>
      <c r="C71" s="32" t="s">
        <v>782</v>
      </c>
      <c r="D71" s="32">
        <v>101</v>
      </c>
    </row>
    <row r="72" spans="1:4" ht="16.5" x14ac:dyDescent="0.15">
      <c r="A72" s="32">
        <v>401020</v>
      </c>
      <c r="B72" s="32" t="s">
        <v>359</v>
      </c>
      <c r="C72" s="32" t="s">
        <v>782</v>
      </c>
      <c r="D72" s="32">
        <v>102</v>
      </c>
    </row>
    <row r="73" spans="1:4" ht="16.5" x14ac:dyDescent="0.15">
      <c r="A73" s="32">
        <v>401030</v>
      </c>
      <c r="B73" s="32" t="s">
        <v>723</v>
      </c>
      <c r="C73" s="32" t="s">
        <v>782</v>
      </c>
      <c r="D73" s="32">
        <v>103</v>
      </c>
    </row>
    <row r="74" spans="1:4" ht="16.5" x14ac:dyDescent="0.15">
      <c r="A74" s="32">
        <v>401040</v>
      </c>
      <c r="B74" s="32" t="s">
        <v>603</v>
      </c>
      <c r="C74" s="32" t="s">
        <v>782</v>
      </c>
      <c r="D74" s="32">
        <v>104</v>
      </c>
    </row>
    <row r="75" spans="1:4" ht="16.5" x14ac:dyDescent="0.15">
      <c r="A75" s="32">
        <v>401050</v>
      </c>
      <c r="B75" s="32" t="s">
        <v>387</v>
      </c>
      <c r="C75" s="32" t="s">
        <v>782</v>
      </c>
      <c r="D75" s="32">
        <v>105</v>
      </c>
    </row>
    <row r="76" spans="1:4" ht="16.5" x14ac:dyDescent="0.15">
      <c r="A76" s="32">
        <v>402010</v>
      </c>
      <c r="B76" s="33" t="s">
        <v>691</v>
      </c>
      <c r="C76" s="32" t="s">
        <v>782</v>
      </c>
      <c r="D76" s="33">
        <v>201</v>
      </c>
    </row>
    <row r="77" spans="1:4" ht="16.5" x14ac:dyDescent="0.15">
      <c r="A77" s="32">
        <v>402020</v>
      </c>
      <c r="B77" s="33" t="s">
        <v>392</v>
      </c>
      <c r="C77" s="32" t="s">
        <v>782</v>
      </c>
      <c r="D77" s="33">
        <v>202</v>
      </c>
    </row>
    <row r="78" spans="1:4" ht="16.5" x14ac:dyDescent="0.15">
      <c r="A78" s="32">
        <v>402030</v>
      </c>
      <c r="B78" s="33" t="s">
        <v>588</v>
      </c>
      <c r="C78" s="32" t="s">
        <v>782</v>
      </c>
      <c r="D78" s="33">
        <v>203</v>
      </c>
    </row>
    <row r="79" spans="1:4" ht="16.5" x14ac:dyDescent="0.15">
      <c r="A79" s="32">
        <v>402040</v>
      </c>
      <c r="B79" s="33" t="s">
        <v>351</v>
      </c>
      <c r="C79" s="32" t="s">
        <v>782</v>
      </c>
      <c r="D79" s="33">
        <v>204</v>
      </c>
    </row>
    <row r="80" spans="1:4" ht="16.5" x14ac:dyDescent="0.15">
      <c r="A80" s="32">
        <v>402050</v>
      </c>
      <c r="B80" s="33" t="s">
        <v>712</v>
      </c>
      <c r="C80" s="32" t="s">
        <v>782</v>
      </c>
      <c r="D80" s="33">
        <v>205</v>
      </c>
    </row>
    <row r="81" spans="1:4" ht="16.5" x14ac:dyDescent="0.15">
      <c r="A81" s="32">
        <v>402060</v>
      </c>
      <c r="B81" s="33" t="s">
        <v>685</v>
      </c>
      <c r="C81" s="32" t="s">
        <v>782</v>
      </c>
      <c r="D81" s="33">
        <v>206</v>
      </c>
    </row>
    <row r="82" spans="1:4" ht="16.5" x14ac:dyDescent="0.15">
      <c r="A82" s="32">
        <v>402070</v>
      </c>
      <c r="B82" s="33" t="s">
        <v>354</v>
      </c>
      <c r="C82" s="32" t="s">
        <v>782</v>
      </c>
      <c r="D82" s="33">
        <v>207</v>
      </c>
    </row>
    <row r="83" spans="1:4" ht="16.5" x14ac:dyDescent="0.15">
      <c r="A83" s="32">
        <v>402080</v>
      </c>
      <c r="B83" s="33" t="s">
        <v>498</v>
      </c>
      <c r="C83" s="32" t="s">
        <v>782</v>
      </c>
      <c r="D83" s="33">
        <v>208</v>
      </c>
    </row>
    <row r="84" spans="1:4" ht="16.5" x14ac:dyDescent="0.15">
      <c r="A84" s="32">
        <v>402090</v>
      </c>
      <c r="B84" s="32" t="s">
        <v>610</v>
      </c>
      <c r="C84" s="32" t="s">
        <v>782</v>
      </c>
      <c r="D84" s="32">
        <v>209</v>
      </c>
    </row>
    <row r="85" spans="1:4" ht="16.5" x14ac:dyDescent="0.15">
      <c r="A85" s="32">
        <v>402100</v>
      </c>
      <c r="B85" s="32" t="s">
        <v>272</v>
      </c>
      <c r="C85" s="32" t="s">
        <v>782</v>
      </c>
      <c r="D85" s="32">
        <v>210</v>
      </c>
    </row>
    <row r="86" spans="1:4" ht="16.5" x14ac:dyDescent="0.15">
      <c r="A86" s="32">
        <v>402110</v>
      </c>
      <c r="B86" s="32" t="s">
        <v>596</v>
      </c>
      <c r="C86" s="32" t="s">
        <v>782</v>
      </c>
      <c r="D86" s="32">
        <v>211</v>
      </c>
    </row>
    <row r="87" spans="1:4" ht="16.5" x14ac:dyDescent="0.15">
      <c r="A87" s="32">
        <v>402120</v>
      </c>
      <c r="B87" s="32" t="s">
        <v>216</v>
      </c>
      <c r="C87" s="32" t="s">
        <v>782</v>
      </c>
      <c r="D87" s="32">
        <v>212</v>
      </c>
    </row>
    <row r="88" spans="1:4" ht="16.5" x14ac:dyDescent="0.15">
      <c r="A88" s="32">
        <v>402130</v>
      </c>
      <c r="B88" s="32" t="s">
        <v>202</v>
      </c>
      <c r="C88" s="32" t="s">
        <v>782</v>
      </c>
      <c r="D88" s="32">
        <v>213</v>
      </c>
    </row>
    <row r="89" spans="1:4" ht="16.5" x14ac:dyDescent="0.15">
      <c r="A89" s="32">
        <v>402140</v>
      </c>
      <c r="B89" s="32" t="s">
        <v>23</v>
      </c>
      <c r="C89" s="32" t="s">
        <v>782</v>
      </c>
      <c r="D89" s="32">
        <v>214</v>
      </c>
    </row>
    <row r="90" spans="1:4" ht="16.5" x14ac:dyDescent="0.15">
      <c r="A90" s="33">
        <v>402150</v>
      </c>
      <c r="B90" s="33" t="s">
        <v>22</v>
      </c>
      <c r="C90" s="32" t="s">
        <v>782</v>
      </c>
      <c r="D90" s="33">
        <v>215</v>
      </c>
    </row>
    <row r="91" spans="1:4" ht="16.5" x14ac:dyDescent="0.15">
      <c r="A91" s="34">
        <v>402160</v>
      </c>
      <c r="B91" s="34" t="s">
        <v>112</v>
      </c>
      <c r="C91" s="34" t="s">
        <v>782</v>
      </c>
      <c r="D91" s="34">
        <v>216</v>
      </c>
    </row>
    <row r="92" spans="1:4" ht="16.5" x14ac:dyDescent="0.15">
      <c r="A92" s="32">
        <v>402170</v>
      </c>
      <c r="B92" s="32" t="s">
        <v>135</v>
      </c>
      <c r="C92" s="33" t="s">
        <v>782</v>
      </c>
      <c r="D92" s="32">
        <v>217</v>
      </c>
    </row>
    <row r="93" spans="1:4" ht="16.5" x14ac:dyDescent="0.15">
      <c r="A93" s="33">
        <v>402180</v>
      </c>
      <c r="B93" s="33" t="s">
        <v>284</v>
      </c>
      <c r="C93" s="33" t="s">
        <v>782</v>
      </c>
      <c r="D93" s="32">
        <v>218</v>
      </c>
    </row>
    <row r="94" spans="1:4" ht="16.5" x14ac:dyDescent="0.15">
      <c r="A94" s="32">
        <v>402190</v>
      </c>
      <c r="B94" s="32" t="s">
        <v>82</v>
      </c>
      <c r="C94" s="33" t="s">
        <v>782</v>
      </c>
      <c r="D94" s="32">
        <v>219</v>
      </c>
    </row>
    <row r="95" spans="1:4" ht="16.5" x14ac:dyDescent="0.15">
      <c r="A95" s="32">
        <v>402200</v>
      </c>
      <c r="B95" s="32" t="s">
        <v>27</v>
      </c>
      <c r="C95" s="33" t="s">
        <v>782</v>
      </c>
      <c r="D95" s="32">
        <v>220</v>
      </c>
    </row>
    <row r="96" spans="1:4" ht="16.5" x14ac:dyDescent="0.15">
      <c r="A96" s="33">
        <v>402210</v>
      </c>
      <c r="B96" s="33" t="s">
        <v>24</v>
      </c>
      <c r="C96" s="33" t="s">
        <v>782</v>
      </c>
      <c r="D96" s="32">
        <v>221</v>
      </c>
    </row>
    <row r="97" spans="1:4" ht="16.5" x14ac:dyDescent="0.15">
      <c r="A97" s="33">
        <v>402220</v>
      </c>
      <c r="B97" s="33" t="s">
        <v>20</v>
      </c>
      <c r="C97" s="33" t="s">
        <v>782</v>
      </c>
      <c r="D97" s="33">
        <v>222</v>
      </c>
    </row>
    <row r="98" spans="1:4" ht="16.5" x14ac:dyDescent="0.15">
      <c r="A98" s="33">
        <v>402230</v>
      </c>
      <c r="B98" s="33" t="s">
        <v>33</v>
      </c>
      <c r="C98" s="33" t="s">
        <v>782</v>
      </c>
      <c r="D98" s="33">
        <v>223</v>
      </c>
    </row>
    <row r="99" spans="1:4" ht="16.5" x14ac:dyDescent="0.15">
      <c r="A99" s="33">
        <v>402240</v>
      </c>
      <c r="B99" s="33" t="s">
        <v>56</v>
      </c>
      <c r="C99" s="33" t="s">
        <v>782</v>
      </c>
      <c r="D99" s="33">
        <v>224</v>
      </c>
    </row>
    <row r="100" spans="1:4" ht="16.5" x14ac:dyDescent="0.15">
      <c r="A100" s="32">
        <v>402300</v>
      </c>
      <c r="B100" s="32" t="s">
        <v>6</v>
      </c>
      <c r="C100" s="33" t="s">
        <v>782</v>
      </c>
      <c r="D100" s="32">
        <v>230</v>
      </c>
    </row>
    <row r="101" spans="1:4" ht="16.5" x14ac:dyDescent="0.15">
      <c r="A101" s="32">
        <v>402310</v>
      </c>
      <c r="B101" s="33" t="s">
        <v>8</v>
      </c>
      <c r="C101" s="33" t="s">
        <v>782</v>
      </c>
      <c r="D101" s="33">
        <v>231</v>
      </c>
    </row>
    <row r="102" spans="1:4" ht="16.5" x14ac:dyDescent="0.15">
      <c r="A102" s="32">
        <v>402320</v>
      </c>
      <c r="B102" s="32" t="s">
        <v>40</v>
      </c>
      <c r="C102" s="33" t="s">
        <v>782</v>
      </c>
      <c r="D102" s="32">
        <v>232</v>
      </c>
    </row>
    <row r="103" spans="1:4" ht="16.5" x14ac:dyDescent="0.15">
      <c r="A103" s="33">
        <v>402330</v>
      </c>
      <c r="B103" s="33" t="s">
        <v>31</v>
      </c>
      <c r="C103" s="33" t="s">
        <v>782</v>
      </c>
      <c r="D103" s="32">
        <v>233</v>
      </c>
    </row>
    <row r="104" spans="1:4" ht="16.5" x14ac:dyDescent="0.15">
      <c r="A104" s="33">
        <v>402340</v>
      </c>
      <c r="B104" s="35" t="s">
        <v>784</v>
      </c>
      <c r="C104" s="33" t="s">
        <v>782</v>
      </c>
      <c r="D104" s="33">
        <v>234</v>
      </c>
    </row>
    <row r="105" spans="1:4" ht="16.5" x14ac:dyDescent="0.15">
      <c r="A105" s="32">
        <v>402880</v>
      </c>
      <c r="B105" s="33" t="s">
        <v>617</v>
      </c>
      <c r="C105" s="32" t="s">
        <v>782</v>
      </c>
      <c r="D105" s="33">
        <v>288</v>
      </c>
    </row>
    <row r="106" spans="1:4" ht="16.5" x14ac:dyDescent="0.15">
      <c r="A106" s="32">
        <v>402890</v>
      </c>
      <c r="B106" s="33" t="s">
        <v>737</v>
      </c>
      <c r="C106" s="32" t="s">
        <v>782</v>
      </c>
      <c r="D106" s="33">
        <v>289</v>
      </c>
    </row>
    <row r="107" spans="1:4" ht="16.5" x14ac:dyDescent="0.15">
      <c r="A107" s="32">
        <v>402900</v>
      </c>
      <c r="B107" s="33" t="s">
        <v>652</v>
      </c>
      <c r="C107" s="32" t="s">
        <v>782</v>
      </c>
      <c r="D107" s="33">
        <v>290</v>
      </c>
    </row>
    <row r="108" spans="1:4" ht="16.5" x14ac:dyDescent="0.15">
      <c r="A108" s="32">
        <v>402910</v>
      </c>
      <c r="B108" s="33" t="s">
        <v>704</v>
      </c>
      <c r="C108" s="32" t="s">
        <v>782</v>
      </c>
      <c r="D108" s="33">
        <v>291</v>
      </c>
    </row>
    <row r="109" spans="1:4" ht="16.5" x14ac:dyDescent="0.15">
      <c r="A109" s="32">
        <v>402920</v>
      </c>
      <c r="B109" s="33" t="s">
        <v>586</v>
      </c>
      <c r="C109" s="32" t="s">
        <v>782</v>
      </c>
      <c r="D109" s="33">
        <v>292</v>
      </c>
    </row>
    <row r="110" spans="1:4" ht="16.5" x14ac:dyDescent="0.15">
      <c r="A110" s="32">
        <v>402930</v>
      </c>
      <c r="B110" s="33" t="s">
        <v>600</v>
      </c>
      <c r="C110" s="32" t="s">
        <v>782</v>
      </c>
      <c r="D110" s="33">
        <v>293</v>
      </c>
    </row>
    <row r="111" spans="1:4" ht="16.5" x14ac:dyDescent="0.15">
      <c r="A111" s="32">
        <v>402940</v>
      </c>
      <c r="B111" s="33" t="s">
        <v>689</v>
      </c>
      <c r="C111" s="32" t="s">
        <v>782</v>
      </c>
      <c r="D111" s="33">
        <v>294</v>
      </c>
    </row>
    <row r="112" spans="1:4" ht="16.5" x14ac:dyDescent="0.15">
      <c r="A112" s="32">
        <v>402950</v>
      </c>
      <c r="B112" s="33" t="s">
        <v>670</v>
      </c>
      <c r="C112" s="32" t="s">
        <v>782</v>
      </c>
      <c r="D112" s="33">
        <v>295</v>
      </c>
    </row>
    <row r="113" spans="1:4" ht="16.5" x14ac:dyDescent="0.15">
      <c r="A113" s="32">
        <v>402960</v>
      </c>
      <c r="B113" s="33" t="s">
        <v>682</v>
      </c>
      <c r="C113" s="32" t="s">
        <v>782</v>
      </c>
      <c r="D113" s="33">
        <v>296</v>
      </c>
    </row>
    <row r="114" spans="1:4" ht="16.5" x14ac:dyDescent="0.15">
      <c r="A114" s="32">
        <v>402970</v>
      </c>
      <c r="B114" s="33" t="s">
        <v>635</v>
      </c>
      <c r="C114" s="32" t="s">
        <v>782</v>
      </c>
      <c r="D114" s="33">
        <v>297</v>
      </c>
    </row>
    <row r="115" spans="1:4" ht="16.5" x14ac:dyDescent="0.15">
      <c r="A115" s="32">
        <v>402980</v>
      </c>
      <c r="B115" s="33" t="s">
        <v>671</v>
      </c>
      <c r="C115" s="32" t="s">
        <v>782</v>
      </c>
      <c r="D115" s="33">
        <v>298</v>
      </c>
    </row>
    <row r="116" spans="1:4" ht="16.5" x14ac:dyDescent="0.15">
      <c r="A116" s="32">
        <v>402990</v>
      </c>
      <c r="B116" s="33" t="s">
        <v>659</v>
      </c>
      <c r="C116" s="32" t="s">
        <v>782</v>
      </c>
      <c r="D116" s="33">
        <v>299</v>
      </c>
    </row>
    <row r="117" spans="1:4" ht="16.5" x14ac:dyDescent="0.15">
      <c r="A117" s="32">
        <v>403000</v>
      </c>
      <c r="B117" s="33" t="s">
        <v>664</v>
      </c>
      <c r="C117" s="32" t="s">
        <v>782</v>
      </c>
      <c r="D117" s="33">
        <v>300</v>
      </c>
    </row>
    <row r="118" spans="1:4" ht="16.5" x14ac:dyDescent="0.15">
      <c r="A118" s="32">
        <v>403010</v>
      </c>
      <c r="B118" s="33" t="s">
        <v>526</v>
      </c>
      <c r="C118" s="32" t="s">
        <v>782</v>
      </c>
      <c r="D118" s="33">
        <v>301</v>
      </c>
    </row>
    <row r="119" spans="1:4" ht="16.5" x14ac:dyDescent="0.15">
      <c r="A119" s="32">
        <v>403020</v>
      </c>
      <c r="B119" s="33" t="s">
        <v>513</v>
      </c>
      <c r="C119" s="32" t="s">
        <v>782</v>
      </c>
      <c r="D119" s="33">
        <v>302</v>
      </c>
    </row>
    <row r="120" spans="1:4" ht="16.5" x14ac:dyDescent="0.15">
      <c r="A120" s="32">
        <v>403030</v>
      </c>
      <c r="B120" s="33" t="s">
        <v>745</v>
      </c>
      <c r="C120" s="32" t="s">
        <v>782</v>
      </c>
      <c r="D120" s="33">
        <v>303</v>
      </c>
    </row>
    <row r="121" spans="1:4" ht="16.5" x14ac:dyDescent="0.15">
      <c r="A121" s="32">
        <v>403040</v>
      </c>
      <c r="B121" s="33" t="s">
        <v>717</v>
      </c>
      <c r="C121" s="32" t="s">
        <v>782</v>
      </c>
      <c r="D121" s="33">
        <v>304</v>
      </c>
    </row>
    <row r="122" spans="1:4" ht="16.5" x14ac:dyDescent="0.15">
      <c r="A122" s="32">
        <v>403050</v>
      </c>
      <c r="B122" s="33" t="s">
        <v>630</v>
      </c>
      <c r="C122" s="32" t="s">
        <v>782</v>
      </c>
      <c r="D122" s="33">
        <v>305</v>
      </c>
    </row>
    <row r="123" spans="1:4" ht="16.5" x14ac:dyDescent="0.15">
      <c r="A123" s="32">
        <v>403060</v>
      </c>
      <c r="B123" s="33" t="s">
        <v>538</v>
      </c>
      <c r="C123" s="32" t="s">
        <v>782</v>
      </c>
      <c r="D123" s="33">
        <v>306</v>
      </c>
    </row>
    <row r="124" spans="1:4" ht="16.5" x14ac:dyDescent="0.15">
      <c r="A124" s="32">
        <v>403070</v>
      </c>
      <c r="B124" s="33" t="s">
        <v>747</v>
      </c>
      <c r="C124" s="32" t="s">
        <v>782</v>
      </c>
      <c r="D124" s="33">
        <v>307</v>
      </c>
    </row>
    <row r="125" spans="1:4" ht="16.5" x14ac:dyDescent="0.15">
      <c r="A125" s="32">
        <v>403080</v>
      </c>
      <c r="B125" s="33" t="s">
        <v>608</v>
      </c>
      <c r="C125" s="32" t="s">
        <v>782</v>
      </c>
      <c r="D125" s="33">
        <v>308</v>
      </c>
    </row>
    <row r="126" spans="1:4" ht="16.5" x14ac:dyDescent="0.15">
      <c r="A126" s="32">
        <v>403090</v>
      </c>
      <c r="B126" s="33" t="s">
        <v>687</v>
      </c>
      <c r="C126" s="32" t="s">
        <v>782</v>
      </c>
      <c r="D126" s="33">
        <v>309</v>
      </c>
    </row>
    <row r="127" spans="1:4" ht="16.5" x14ac:dyDescent="0.15">
      <c r="A127" s="32">
        <v>403100</v>
      </c>
      <c r="B127" s="33" t="s">
        <v>516</v>
      </c>
      <c r="C127" s="32" t="s">
        <v>782</v>
      </c>
      <c r="D127" s="33">
        <v>310</v>
      </c>
    </row>
    <row r="128" spans="1:4" ht="16.5" x14ac:dyDescent="0.15">
      <c r="A128" s="32">
        <v>403110</v>
      </c>
      <c r="B128" s="33" t="s">
        <v>619</v>
      </c>
      <c r="C128" s="32" t="s">
        <v>782</v>
      </c>
      <c r="D128" s="33">
        <v>311</v>
      </c>
    </row>
    <row r="129" spans="1:4" ht="16.5" x14ac:dyDescent="0.15">
      <c r="A129" s="32">
        <v>403120</v>
      </c>
      <c r="B129" s="33" t="s">
        <v>665</v>
      </c>
      <c r="C129" s="32" t="s">
        <v>782</v>
      </c>
      <c r="D129" s="33">
        <v>312</v>
      </c>
    </row>
    <row r="130" spans="1:4" ht="16.5" x14ac:dyDescent="0.15">
      <c r="A130" s="32">
        <v>403130</v>
      </c>
      <c r="B130" s="33" t="s">
        <v>622</v>
      </c>
      <c r="C130" s="32" t="s">
        <v>782</v>
      </c>
      <c r="D130" s="33">
        <v>313</v>
      </c>
    </row>
    <row r="131" spans="1:4" ht="16.5" x14ac:dyDescent="0.15">
      <c r="A131" s="32">
        <v>403140</v>
      </c>
      <c r="B131" s="33" t="s">
        <v>698</v>
      </c>
      <c r="C131" s="32" t="s">
        <v>782</v>
      </c>
      <c r="D131" s="33">
        <v>314</v>
      </c>
    </row>
    <row r="132" spans="1:4" ht="16.5" x14ac:dyDescent="0.15">
      <c r="A132" s="32">
        <v>403150</v>
      </c>
      <c r="B132" s="33" t="s">
        <v>455</v>
      </c>
      <c r="C132" s="32" t="s">
        <v>782</v>
      </c>
      <c r="D132" s="33">
        <v>315</v>
      </c>
    </row>
    <row r="133" spans="1:4" ht="16.5" x14ac:dyDescent="0.15">
      <c r="A133" s="32">
        <v>403160</v>
      </c>
      <c r="B133" s="33" t="s">
        <v>710</v>
      </c>
      <c r="C133" s="32" t="s">
        <v>782</v>
      </c>
      <c r="D133" s="33">
        <v>316</v>
      </c>
    </row>
    <row r="134" spans="1:4" ht="16.5" x14ac:dyDescent="0.15">
      <c r="A134" s="32">
        <v>403170</v>
      </c>
      <c r="B134" s="33" t="s">
        <v>615</v>
      </c>
      <c r="C134" s="32" t="s">
        <v>782</v>
      </c>
      <c r="D134" s="33">
        <v>317</v>
      </c>
    </row>
    <row r="135" spans="1:4" ht="16.5" x14ac:dyDescent="0.15">
      <c r="A135" s="32">
        <v>403180</v>
      </c>
      <c r="B135" s="33" t="s">
        <v>736</v>
      </c>
      <c r="C135" s="32" t="s">
        <v>782</v>
      </c>
      <c r="D135" s="33">
        <v>318</v>
      </c>
    </row>
    <row r="136" spans="1:4" ht="16.5" x14ac:dyDescent="0.15">
      <c r="A136" s="32">
        <v>403190</v>
      </c>
      <c r="B136" s="33" t="s">
        <v>656</v>
      </c>
      <c r="C136" s="32" t="s">
        <v>782</v>
      </c>
      <c r="D136" s="33">
        <v>319</v>
      </c>
    </row>
    <row r="137" spans="1:4" ht="16.5" x14ac:dyDescent="0.15">
      <c r="A137" s="32">
        <v>403200</v>
      </c>
      <c r="B137" s="33" t="s">
        <v>507</v>
      </c>
      <c r="C137" s="32" t="s">
        <v>782</v>
      </c>
      <c r="D137" s="33">
        <v>320</v>
      </c>
    </row>
    <row r="138" spans="1:4" ht="16.5" x14ac:dyDescent="0.15">
      <c r="A138" s="32">
        <v>403210</v>
      </c>
      <c r="B138" s="33" t="s">
        <v>699</v>
      </c>
      <c r="C138" s="32" t="s">
        <v>782</v>
      </c>
      <c r="D138" s="33">
        <v>321</v>
      </c>
    </row>
    <row r="139" spans="1:4" ht="16.5" x14ac:dyDescent="0.15">
      <c r="A139" s="32">
        <v>403220</v>
      </c>
      <c r="B139" s="33" t="s">
        <v>679</v>
      </c>
      <c r="C139" s="32" t="s">
        <v>782</v>
      </c>
      <c r="D139" s="33">
        <v>322</v>
      </c>
    </row>
    <row r="140" spans="1:4" ht="16.5" x14ac:dyDescent="0.15">
      <c r="A140" s="32">
        <v>403230</v>
      </c>
      <c r="B140" s="33" t="s">
        <v>519</v>
      </c>
      <c r="C140" s="32" t="s">
        <v>782</v>
      </c>
      <c r="D140" s="33">
        <v>323</v>
      </c>
    </row>
    <row r="141" spans="1:4" ht="16.5" x14ac:dyDescent="0.15">
      <c r="A141" s="32">
        <v>403240</v>
      </c>
      <c r="B141" s="33" t="s">
        <v>628</v>
      </c>
      <c r="C141" s="32" t="s">
        <v>782</v>
      </c>
      <c r="D141" s="33">
        <v>324</v>
      </c>
    </row>
    <row r="142" spans="1:4" ht="16.5" x14ac:dyDescent="0.15">
      <c r="A142" s="32">
        <v>403250</v>
      </c>
      <c r="B142" s="33" t="s">
        <v>592</v>
      </c>
      <c r="C142" s="32" t="s">
        <v>782</v>
      </c>
      <c r="D142" s="33">
        <v>325</v>
      </c>
    </row>
    <row r="143" spans="1:4" ht="16.5" x14ac:dyDescent="0.15">
      <c r="A143" s="32">
        <v>403260</v>
      </c>
      <c r="B143" s="33" t="s">
        <v>499</v>
      </c>
      <c r="C143" s="32" t="s">
        <v>782</v>
      </c>
      <c r="D143" s="33">
        <v>326</v>
      </c>
    </row>
    <row r="144" spans="1:4" ht="16.5" x14ac:dyDescent="0.15">
      <c r="A144" s="32">
        <v>403270</v>
      </c>
      <c r="B144" s="33" t="s">
        <v>730</v>
      </c>
      <c r="C144" s="32" t="s">
        <v>782</v>
      </c>
      <c r="D144" s="33">
        <v>327</v>
      </c>
    </row>
    <row r="145" spans="1:4" ht="16.5" x14ac:dyDescent="0.15">
      <c r="A145" s="32">
        <v>403280</v>
      </c>
      <c r="B145" s="33" t="s">
        <v>437</v>
      </c>
      <c r="C145" s="32" t="s">
        <v>782</v>
      </c>
      <c r="D145" s="33">
        <v>328</v>
      </c>
    </row>
    <row r="146" spans="1:4" ht="16.5" x14ac:dyDescent="0.15">
      <c r="A146" s="32">
        <v>403290</v>
      </c>
      <c r="B146" s="33" t="s">
        <v>709</v>
      </c>
      <c r="C146" s="32" t="s">
        <v>782</v>
      </c>
      <c r="D146" s="33">
        <v>329</v>
      </c>
    </row>
    <row r="147" spans="1:4" ht="16.5" x14ac:dyDescent="0.15">
      <c r="A147" s="32">
        <v>403300</v>
      </c>
      <c r="B147" s="33" t="s">
        <v>511</v>
      </c>
      <c r="C147" s="32" t="s">
        <v>782</v>
      </c>
      <c r="D147" s="33">
        <v>330</v>
      </c>
    </row>
    <row r="148" spans="1:4" ht="16.5" x14ac:dyDescent="0.15">
      <c r="A148" s="32">
        <v>403310</v>
      </c>
      <c r="B148" s="33" t="s">
        <v>714</v>
      </c>
      <c r="C148" s="32" t="s">
        <v>782</v>
      </c>
      <c r="D148" s="33">
        <v>331</v>
      </c>
    </row>
    <row r="149" spans="1:4" ht="16.5" x14ac:dyDescent="0.15">
      <c r="A149" s="32">
        <v>403320</v>
      </c>
      <c r="B149" s="33" t="s">
        <v>366</v>
      </c>
      <c r="C149" s="32" t="s">
        <v>782</v>
      </c>
      <c r="D149" s="33">
        <v>332</v>
      </c>
    </row>
    <row r="150" spans="1:4" ht="16.5" x14ac:dyDescent="0.15">
      <c r="A150" s="32">
        <v>403330</v>
      </c>
      <c r="B150" s="33" t="s">
        <v>661</v>
      </c>
      <c r="C150" s="32" t="s">
        <v>782</v>
      </c>
      <c r="D150" s="33">
        <v>333</v>
      </c>
    </row>
    <row r="151" spans="1:4" ht="16.5" x14ac:dyDescent="0.15">
      <c r="A151" s="32">
        <v>403340</v>
      </c>
      <c r="B151" s="33" t="s">
        <v>448</v>
      </c>
      <c r="C151" s="32" t="s">
        <v>782</v>
      </c>
      <c r="D151" s="33">
        <v>334</v>
      </c>
    </row>
    <row r="152" spans="1:4" ht="16.5" x14ac:dyDescent="0.15">
      <c r="A152" s="32">
        <v>403350</v>
      </c>
      <c r="B152" s="33" t="s">
        <v>614</v>
      </c>
      <c r="C152" s="32" t="s">
        <v>782</v>
      </c>
      <c r="D152" s="33">
        <v>335</v>
      </c>
    </row>
    <row r="153" spans="1:4" ht="16.5" x14ac:dyDescent="0.15">
      <c r="A153" s="32">
        <v>403360</v>
      </c>
      <c r="B153" s="33" t="s">
        <v>692</v>
      </c>
      <c r="C153" s="32" t="s">
        <v>782</v>
      </c>
      <c r="D153" s="33">
        <v>336</v>
      </c>
    </row>
    <row r="154" spans="1:4" ht="16.5" x14ac:dyDescent="0.15">
      <c r="A154" s="32">
        <v>403370</v>
      </c>
      <c r="B154" s="33" t="s">
        <v>705</v>
      </c>
      <c r="C154" s="32" t="s">
        <v>782</v>
      </c>
      <c r="D154" s="33">
        <v>337</v>
      </c>
    </row>
    <row r="155" spans="1:4" ht="16.5" x14ac:dyDescent="0.15">
      <c r="A155" s="32">
        <v>403380</v>
      </c>
      <c r="B155" s="33" t="s">
        <v>675</v>
      </c>
      <c r="C155" s="32" t="s">
        <v>782</v>
      </c>
      <c r="D155" s="33">
        <v>338</v>
      </c>
    </row>
    <row r="156" spans="1:4" ht="16.5" x14ac:dyDescent="0.15">
      <c r="A156" s="32">
        <v>403390</v>
      </c>
      <c r="B156" s="32" t="s">
        <v>348</v>
      </c>
      <c r="C156" s="32" t="s">
        <v>782</v>
      </c>
      <c r="D156" s="32">
        <v>339</v>
      </c>
    </row>
    <row r="157" spans="1:4" ht="16.5" x14ac:dyDescent="0.15">
      <c r="A157" s="32">
        <v>403400</v>
      </c>
      <c r="B157" s="33" t="s">
        <v>703</v>
      </c>
      <c r="C157" s="32" t="s">
        <v>782</v>
      </c>
      <c r="D157" s="33">
        <v>340</v>
      </c>
    </row>
    <row r="158" spans="1:4" ht="16.5" x14ac:dyDescent="0.15">
      <c r="A158" s="32">
        <v>403410</v>
      </c>
      <c r="B158" s="33" t="s">
        <v>642</v>
      </c>
      <c r="C158" s="32" t="s">
        <v>782</v>
      </c>
      <c r="D158" s="33">
        <v>341</v>
      </c>
    </row>
    <row r="159" spans="1:4" ht="16.5" x14ac:dyDescent="0.15">
      <c r="A159" s="32">
        <v>403420</v>
      </c>
      <c r="B159" s="33" t="s">
        <v>728</v>
      </c>
      <c r="C159" s="32" t="s">
        <v>782</v>
      </c>
      <c r="D159" s="32">
        <v>342</v>
      </c>
    </row>
    <row r="160" spans="1:4" ht="16.5" x14ac:dyDescent="0.15">
      <c r="A160" s="32">
        <v>404000</v>
      </c>
      <c r="B160" s="32" t="s">
        <v>593</v>
      </c>
      <c r="C160" s="32" t="s">
        <v>782</v>
      </c>
      <c r="D160" s="32">
        <v>400</v>
      </c>
    </row>
    <row r="161" spans="1:4" ht="16.5" x14ac:dyDescent="0.15">
      <c r="A161" s="32">
        <v>404010</v>
      </c>
      <c r="B161" s="32" t="s">
        <v>649</v>
      </c>
      <c r="C161" s="32" t="s">
        <v>782</v>
      </c>
      <c r="D161" s="32">
        <v>401</v>
      </c>
    </row>
    <row r="162" spans="1:4" ht="16.5" x14ac:dyDescent="0.15">
      <c r="A162" s="32">
        <v>404020</v>
      </c>
      <c r="B162" s="32" t="s">
        <v>572</v>
      </c>
      <c r="C162" s="32" t="s">
        <v>782</v>
      </c>
      <c r="D162" s="32">
        <v>402</v>
      </c>
    </row>
    <row r="163" spans="1:4" ht="16.5" x14ac:dyDescent="0.15">
      <c r="A163" s="32">
        <v>404030</v>
      </c>
      <c r="B163" s="32" t="s">
        <v>641</v>
      </c>
      <c r="C163" s="32" t="s">
        <v>782</v>
      </c>
      <c r="D163" s="32">
        <v>403</v>
      </c>
    </row>
    <row r="164" spans="1:4" ht="16.5" x14ac:dyDescent="0.15">
      <c r="A164" s="32">
        <v>404040</v>
      </c>
      <c r="B164" s="32" t="s">
        <v>344</v>
      </c>
      <c r="C164" s="32" t="s">
        <v>782</v>
      </c>
      <c r="D164" s="32">
        <v>404</v>
      </c>
    </row>
    <row r="165" spans="1:4" ht="16.5" x14ac:dyDescent="0.15">
      <c r="A165" s="32">
        <v>404050</v>
      </c>
      <c r="B165" s="32" t="s">
        <v>701</v>
      </c>
      <c r="C165" s="32" t="s">
        <v>782</v>
      </c>
      <c r="D165" s="32">
        <v>405</v>
      </c>
    </row>
    <row r="166" spans="1:4" ht="16.5" x14ac:dyDescent="0.15">
      <c r="A166" s="32">
        <v>404060</v>
      </c>
      <c r="B166" s="32" t="s">
        <v>487</v>
      </c>
      <c r="C166" s="32" t="s">
        <v>782</v>
      </c>
      <c r="D166" s="32">
        <v>406</v>
      </c>
    </row>
    <row r="167" spans="1:4" ht="16.5" x14ac:dyDescent="0.15">
      <c r="A167" s="32">
        <v>404070</v>
      </c>
      <c r="B167" s="32" t="s">
        <v>564</v>
      </c>
      <c r="C167" s="32" t="s">
        <v>782</v>
      </c>
      <c r="D167" s="32">
        <v>407</v>
      </c>
    </row>
    <row r="168" spans="1:4" ht="16.5" x14ac:dyDescent="0.15">
      <c r="A168" s="32">
        <v>404080</v>
      </c>
      <c r="B168" s="32" t="s">
        <v>422</v>
      </c>
      <c r="C168" s="32" t="s">
        <v>782</v>
      </c>
      <c r="D168" s="32">
        <v>408</v>
      </c>
    </row>
    <row r="169" spans="1:4" ht="16.5" x14ac:dyDescent="0.15">
      <c r="A169" s="32">
        <v>404090</v>
      </c>
      <c r="B169" s="32" t="s">
        <v>672</v>
      </c>
      <c r="C169" s="32" t="s">
        <v>782</v>
      </c>
      <c r="D169" s="32">
        <v>409</v>
      </c>
    </row>
    <row r="170" spans="1:4" ht="16.5" x14ac:dyDescent="0.15">
      <c r="A170" s="32">
        <v>404100</v>
      </c>
      <c r="B170" s="32" t="s">
        <v>496</v>
      </c>
      <c r="C170" s="32" t="s">
        <v>782</v>
      </c>
      <c r="D170" s="32">
        <v>410</v>
      </c>
    </row>
    <row r="171" spans="1:4" ht="16.5" x14ac:dyDescent="0.15">
      <c r="A171" s="32">
        <v>404110</v>
      </c>
      <c r="B171" s="32" t="s">
        <v>534</v>
      </c>
      <c r="C171" s="32" t="s">
        <v>782</v>
      </c>
      <c r="D171" s="32">
        <v>411</v>
      </c>
    </row>
    <row r="172" spans="1:4" ht="16.5" x14ac:dyDescent="0.15">
      <c r="A172" s="32">
        <v>404120</v>
      </c>
      <c r="B172" s="32" t="s">
        <v>678</v>
      </c>
      <c r="C172" s="32" t="s">
        <v>782</v>
      </c>
      <c r="D172" s="32">
        <v>412</v>
      </c>
    </row>
    <row r="173" spans="1:4" ht="16.5" x14ac:dyDescent="0.15">
      <c r="A173" s="32">
        <v>404130</v>
      </c>
      <c r="B173" s="32" t="s">
        <v>686</v>
      </c>
      <c r="C173" s="32" t="s">
        <v>782</v>
      </c>
      <c r="D173" s="32">
        <v>413</v>
      </c>
    </row>
    <row r="174" spans="1:4" ht="16.5" x14ac:dyDescent="0.15">
      <c r="A174" s="32">
        <v>404140</v>
      </c>
      <c r="B174" s="32" t="s">
        <v>551</v>
      </c>
      <c r="C174" s="32" t="s">
        <v>782</v>
      </c>
      <c r="D174" s="32">
        <v>414</v>
      </c>
    </row>
    <row r="175" spans="1:4" ht="16.5" x14ac:dyDescent="0.15">
      <c r="A175" s="32">
        <v>404150</v>
      </c>
      <c r="B175" s="32" t="s">
        <v>475</v>
      </c>
      <c r="C175" s="32" t="s">
        <v>782</v>
      </c>
      <c r="D175" s="32">
        <v>415</v>
      </c>
    </row>
    <row r="176" spans="1:4" ht="16.5" x14ac:dyDescent="0.15">
      <c r="A176" s="32">
        <v>404160</v>
      </c>
      <c r="B176" s="32" t="s">
        <v>613</v>
      </c>
      <c r="C176" s="32" t="s">
        <v>782</v>
      </c>
      <c r="D176" s="32">
        <v>416</v>
      </c>
    </row>
    <row r="177" spans="1:4" ht="16.5" x14ac:dyDescent="0.15">
      <c r="A177" s="32">
        <v>404170</v>
      </c>
      <c r="B177" s="32" t="s">
        <v>463</v>
      </c>
      <c r="C177" s="32" t="s">
        <v>782</v>
      </c>
      <c r="D177" s="32">
        <v>417</v>
      </c>
    </row>
    <row r="178" spans="1:4" ht="16.5" x14ac:dyDescent="0.15">
      <c r="A178" s="32">
        <v>404180</v>
      </c>
      <c r="B178" s="32" t="s">
        <v>719</v>
      </c>
      <c r="C178" s="32" t="s">
        <v>782</v>
      </c>
      <c r="D178" s="32">
        <v>418</v>
      </c>
    </row>
    <row r="179" spans="1:4" ht="16.5" x14ac:dyDescent="0.15">
      <c r="A179" s="32">
        <v>404190</v>
      </c>
      <c r="B179" s="32" t="s">
        <v>634</v>
      </c>
      <c r="C179" s="32" t="s">
        <v>782</v>
      </c>
      <c r="D179" s="32">
        <v>419</v>
      </c>
    </row>
    <row r="180" spans="1:4" ht="16.5" x14ac:dyDescent="0.15">
      <c r="A180" s="32">
        <v>404200</v>
      </c>
      <c r="B180" s="32" t="s">
        <v>352</v>
      </c>
      <c r="C180" s="32" t="s">
        <v>782</v>
      </c>
      <c r="D180" s="32">
        <v>420</v>
      </c>
    </row>
    <row r="181" spans="1:4" ht="16.5" x14ac:dyDescent="0.15">
      <c r="A181" s="32">
        <v>404210</v>
      </c>
      <c r="B181" s="32" t="s">
        <v>749</v>
      </c>
      <c r="C181" s="32" t="s">
        <v>782</v>
      </c>
      <c r="D181" s="32">
        <v>421</v>
      </c>
    </row>
    <row r="182" spans="1:4" ht="16.5" x14ac:dyDescent="0.15">
      <c r="A182" s="32">
        <v>404220</v>
      </c>
      <c r="B182" s="32" t="s">
        <v>624</v>
      </c>
      <c r="C182" s="32" t="s">
        <v>782</v>
      </c>
      <c r="D182" s="32">
        <v>422</v>
      </c>
    </row>
    <row r="183" spans="1:4" ht="16.5" x14ac:dyDescent="0.15">
      <c r="A183" s="32">
        <v>404230</v>
      </c>
      <c r="B183" s="32" t="s">
        <v>725</v>
      </c>
      <c r="C183" s="32" t="s">
        <v>782</v>
      </c>
      <c r="D183" s="32">
        <v>423</v>
      </c>
    </row>
    <row r="184" spans="1:4" ht="16.5" x14ac:dyDescent="0.15">
      <c r="A184" s="32">
        <v>404240</v>
      </c>
      <c r="B184" s="32" t="s">
        <v>785</v>
      </c>
      <c r="C184" s="32" t="s">
        <v>782</v>
      </c>
      <c r="D184" s="32">
        <v>424</v>
      </c>
    </row>
    <row r="185" spans="1:4" ht="16.5" x14ac:dyDescent="0.15">
      <c r="A185" s="32">
        <v>404250</v>
      </c>
      <c r="B185" s="32" t="s">
        <v>786</v>
      </c>
      <c r="C185" s="32" t="s">
        <v>782</v>
      </c>
      <c r="D185" s="32">
        <v>425</v>
      </c>
    </row>
    <row r="186" spans="1:4" ht="16.5" x14ac:dyDescent="0.15">
      <c r="A186" s="32">
        <v>404260</v>
      </c>
      <c r="B186" s="32" t="s">
        <v>787</v>
      </c>
      <c r="C186" s="32" t="s">
        <v>782</v>
      </c>
      <c r="D186" s="32">
        <v>426</v>
      </c>
    </row>
    <row r="187" spans="1:4" ht="16.5" x14ac:dyDescent="0.15">
      <c r="A187" s="32">
        <v>404270</v>
      </c>
      <c r="B187" s="32" t="s">
        <v>788</v>
      </c>
      <c r="C187" s="32" t="s">
        <v>782</v>
      </c>
      <c r="D187" s="32">
        <v>427</v>
      </c>
    </row>
    <row r="188" spans="1:4" ht="16.5" x14ac:dyDescent="0.15">
      <c r="A188" s="32">
        <v>404280</v>
      </c>
      <c r="B188" s="32" t="s">
        <v>789</v>
      </c>
      <c r="C188" s="32" t="s">
        <v>782</v>
      </c>
      <c r="D188" s="32">
        <v>428</v>
      </c>
    </row>
    <row r="189" spans="1:4" ht="16.5" x14ac:dyDescent="0.15">
      <c r="A189" s="32">
        <v>404290</v>
      </c>
      <c r="B189" s="32" t="s">
        <v>790</v>
      </c>
      <c r="C189" s="32" t="s">
        <v>782</v>
      </c>
      <c r="D189" s="32">
        <v>429</v>
      </c>
    </row>
    <row r="190" spans="1:4" ht="16.5" x14ac:dyDescent="0.15">
      <c r="A190" s="32">
        <v>404300</v>
      </c>
      <c r="B190" s="32" t="s">
        <v>791</v>
      </c>
      <c r="C190" s="32" t="s">
        <v>782</v>
      </c>
      <c r="D190" s="32">
        <v>430</v>
      </c>
    </row>
    <row r="191" spans="1:4" ht="16.5" x14ac:dyDescent="0.15">
      <c r="A191" s="32">
        <v>404310</v>
      </c>
      <c r="B191" s="32" t="s">
        <v>792</v>
      </c>
      <c r="C191" s="32" t="s">
        <v>782</v>
      </c>
      <c r="D191" s="32">
        <v>431</v>
      </c>
    </row>
    <row r="192" spans="1:4" ht="16.5" x14ac:dyDescent="0.15">
      <c r="A192" s="32">
        <v>404320</v>
      </c>
      <c r="B192" s="32" t="s">
        <v>582</v>
      </c>
      <c r="C192" s="32" t="s">
        <v>782</v>
      </c>
      <c r="D192" s="32">
        <v>432</v>
      </c>
    </row>
    <row r="193" spans="1:4" ht="16.5" x14ac:dyDescent="0.15">
      <c r="A193" s="32">
        <v>404330</v>
      </c>
      <c r="B193" s="32" t="s">
        <v>460</v>
      </c>
      <c r="C193" s="32" t="s">
        <v>782</v>
      </c>
      <c r="D193" s="32">
        <v>433</v>
      </c>
    </row>
    <row r="194" spans="1:4" ht="16.5" x14ac:dyDescent="0.15">
      <c r="A194" s="32">
        <v>404340</v>
      </c>
      <c r="B194" s="32" t="s">
        <v>738</v>
      </c>
      <c r="C194" s="32" t="s">
        <v>782</v>
      </c>
      <c r="D194" s="32">
        <v>434</v>
      </c>
    </row>
    <row r="195" spans="1:4" ht="16.5" x14ac:dyDescent="0.15">
      <c r="A195" s="32">
        <v>404350</v>
      </c>
      <c r="B195" s="32" t="s">
        <v>474</v>
      </c>
      <c r="C195" s="32" t="s">
        <v>782</v>
      </c>
      <c r="D195" s="32">
        <v>435</v>
      </c>
    </row>
    <row r="196" spans="1:4" ht="16.5" x14ac:dyDescent="0.15">
      <c r="A196" s="32">
        <v>404360</v>
      </c>
      <c r="B196" s="32" t="s">
        <v>636</v>
      </c>
      <c r="C196" s="32" t="s">
        <v>782</v>
      </c>
      <c r="D196" s="32">
        <v>436</v>
      </c>
    </row>
    <row r="197" spans="1:4" ht="16.5" x14ac:dyDescent="0.15">
      <c r="A197" s="32">
        <v>404370</v>
      </c>
      <c r="B197" s="32" t="s">
        <v>684</v>
      </c>
      <c r="C197" s="32" t="s">
        <v>782</v>
      </c>
      <c r="D197" s="32">
        <v>437</v>
      </c>
    </row>
    <row r="198" spans="1:4" ht="16.5" x14ac:dyDescent="0.15">
      <c r="A198" s="32">
        <v>404380</v>
      </c>
      <c r="B198" s="32" t="s">
        <v>470</v>
      </c>
      <c r="C198" s="32" t="s">
        <v>782</v>
      </c>
      <c r="D198" s="32">
        <v>438</v>
      </c>
    </row>
    <row r="199" spans="1:4" ht="16.5" x14ac:dyDescent="0.15">
      <c r="A199" s="32">
        <v>404390</v>
      </c>
      <c r="B199" s="32" t="s">
        <v>700</v>
      </c>
      <c r="C199" s="32" t="s">
        <v>782</v>
      </c>
      <c r="D199" s="32">
        <v>439</v>
      </c>
    </row>
    <row r="200" spans="1:4" ht="16.5" x14ac:dyDescent="0.15">
      <c r="A200" s="32">
        <v>404400</v>
      </c>
      <c r="B200" s="32" t="s">
        <v>380</v>
      </c>
      <c r="C200" s="32" t="s">
        <v>782</v>
      </c>
      <c r="D200" s="32">
        <v>440</v>
      </c>
    </row>
    <row r="201" spans="1:4" ht="16.5" x14ac:dyDescent="0.15">
      <c r="A201" s="32">
        <v>404410</v>
      </c>
      <c r="B201" s="32" t="s">
        <v>666</v>
      </c>
      <c r="C201" s="32" t="s">
        <v>782</v>
      </c>
      <c r="D201" s="32">
        <v>441</v>
      </c>
    </row>
    <row r="202" spans="1:4" ht="16.5" x14ac:dyDescent="0.15">
      <c r="A202" s="32">
        <v>404420</v>
      </c>
      <c r="B202" s="32" t="s">
        <v>627</v>
      </c>
      <c r="C202" s="32" t="s">
        <v>782</v>
      </c>
      <c r="D202" s="32">
        <v>442</v>
      </c>
    </row>
    <row r="203" spans="1:4" ht="16.5" x14ac:dyDescent="0.15">
      <c r="A203" s="32">
        <v>404430</v>
      </c>
      <c r="B203" s="32" t="s">
        <v>550</v>
      </c>
      <c r="C203" s="32" t="s">
        <v>782</v>
      </c>
      <c r="D203" s="32">
        <v>443</v>
      </c>
    </row>
    <row r="204" spans="1:4" ht="16.5" x14ac:dyDescent="0.15">
      <c r="A204" s="32">
        <v>404440</v>
      </c>
      <c r="B204" s="32" t="s">
        <v>620</v>
      </c>
      <c r="C204" s="32" t="s">
        <v>782</v>
      </c>
      <c r="D204" s="32">
        <v>444</v>
      </c>
    </row>
    <row r="205" spans="1:4" ht="16.5" x14ac:dyDescent="0.15">
      <c r="A205" s="32">
        <v>404450</v>
      </c>
      <c r="B205" s="32" t="s">
        <v>744</v>
      </c>
      <c r="C205" s="32" t="s">
        <v>782</v>
      </c>
      <c r="D205" s="32">
        <v>445</v>
      </c>
    </row>
    <row r="206" spans="1:4" ht="16.5" x14ac:dyDescent="0.15">
      <c r="A206" s="32">
        <v>404460</v>
      </c>
      <c r="B206" s="32" t="s">
        <v>740</v>
      </c>
      <c r="C206" s="32" t="s">
        <v>782</v>
      </c>
      <c r="D206" s="32">
        <v>446</v>
      </c>
    </row>
    <row r="207" spans="1:4" ht="16.5" x14ac:dyDescent="0.15">
      <c r="A207" s="32">
        <v>404470</v>
      </c>
      <c r="B207" s="32" t="s">
        <v>715</v>
      </c>
      <c r="C207" s="32" t="s">
        <v>782</v>
      </c>
      <c r="D207" s="32">
        <v>447</v>
      </c>
    </row>
    <row r="208" spans="1:4" ht="16.5" x14ac:dyDescent="0.15">
      <c r="A208" s="32">
        <v>405000</v>
      </c>
      <c r="B208" s="32" t="s">
        <v>381</v>
      </c>
      <c r="C208" s="32" t="s">
        <v>782</v>
      </c>
      <c r="D208" s="32">
        <v>500</v>
      </c>
    </row>
    <row r="209" spans="1:4" ht="16.5" x14ac:dyDescent="0.15">
      <c r="A209" s="32">
        <v>405010</v>
      </c>
      <c r="B209" s="32" t="s">
        <v>146</v>
      </c>
      <c r="C209" s="32" t="s">
        <v>782</v>
      </c>
      <c r="D209" s="32">
        <v>501</v>
      </c>
    </row>
    <row r="210" spans="1:4" ht="16.5" x14ac:dyDescent="0.15">
      <c r="A210" s="32">
        <v>405020</v>
      </c>
      <c r="B210" s="32" t="s">
        <v>591</v>
      </c>
      <c r="C210" s="32" t="s">
        <v>782</v>
      </c>
      <c r="D210" s="32">
        <v>502</v>
      </c>
    </row>
    <row r="211" spans="1:4" ht="16.5" x14ac:dyDescent="0.15">
      <c r="A211" s="32">
        <v>405030</v>
      </c>
      <c r="B211" s="32" t="s">
        <v>527</v>
      </c>
      <c r="C211" s="32" t="s">
        <v>782</v>
      </c>
      <c r="D211" s="32">
        <v>503</v>
      </c>
    </row>
    <row r="212" spans="1:4" ht="16.5" x14ac:dyDescent="0.15">
      <c r="A212" s="32">
        <v>405040</v>
      </c>
      <c r="B212" s="32" t="s">
        <v>503</v>
      </c>
      <c r="C212" s="32" t="s">
        <v>782</v>
      </c>
      <c r="D212" s="32">
        <v>504</v>
      </c>
    </row>
    <row r="213" spans="1:4" ht="16.5" x14ac:dyDescent="0.15">
      <c r="A213" s="32">
        <v>405050</v>
      </c>
      <c r="B213" s="32" t="s">
        <v>396</v>
      </c>
      <c r="C213" s="32" t="s">
        <v>782</v>
      </c>
      <c r="D213" s="32">
        <v>505</v>
      </c>
    </row>
    <row r="214" spans="1:4" ht="16.5" x14ac:dyDescent="0.15">
      <c r="A214" s="32">
        <v>405060</v>
      </c>
      <c r="B214" s="32" t="s">
        <v>373</v>
      </c>
      <c r="C214" s="32" t="s">
        <v>782</v>
      </c>
      <c r="D214" s="32">
        <v>506</v>
      </c>
    </row>
    <row r="215" spans="1:4" ht="16.5" x14ac:dyDescent="0.15">
      <c r="A215" s="32">
        <v>405070</v>
      </c>
      <c r="B215" s="32" t="s">
        <v>577</v>
      </c>
      <c r="C215" s="32" t="s">
        <v>782</v>
      </c>
      <c r="D215" s="32">
        <v>507</v>
      </c>
    </row>
    <row r="216" spans="1:4" ht="16.5" x14ac:dyDescent="0.15">
      <c r="A216" s="32">
        <v>405080</v>
      </c>
      <c r="B216" s="32" t="s">
        <v>15</v>
      </c>
      <c r="C216" s="32" t="s">
        <v>782</v>
      </c>
      <c r="D216" s="32">
        <v>508</v>
      </c>
    </row>
    <row r="217" spans="1:4" ht="16.5" x14ac:dyDescent="0.15">
      <c r="A217" s="32">
        <v>405090</v>
      </c>
      <c r="B217" s="32" t="s">
        <v>517</v>
      </c>
      <c r="C217" s="32" t="s">
        <v>782</v>
      </c>
      <c r="D217" s="32">
        <v>509</v>
      </c>
    </row>
    <row r="218" spans="1:4" ht="16.5" x14ac:dyDescent="0.15">
      <c r="A218" s="32">
        <v>405100</v>
      </c>
      <c r="B218" s="32" t="s">
        <v>458</v>
      </c>
      <c r="C218" s="32" t="s">
        <v>782</v>
      </c>
      <c r="D218" s="32">
        <v>510</v>
      </c>
    </row>
    <row r="219" spans="1:4" ht="16.5" x14ac:dyDescent="0.15">
      <c r="A219" s="32">
        <v>405110</v>
      </c>
      <c r="B219" s="32" t="s">
        <v>645</v>
      </c>
      <c r="C219" s="32" t="s">
        <v>782</v>
      </c>
      <c r="D219" s="32">
        <v>511</v>
      </c>
    </row>
    <row r="220" spans="1:4" ht="16.5" x14ac:dyDescent="0.15">
      <c r="A220" s="32">
        <v>405120</v>
      </c>
      <c r="B220" s="32" t="s">
        <v>523</v>
      </c>
      <c r="C220" s="32" t="s">
        <v>782</v>
      </c>
      <c r="D220" s="32">
        <v>512</v>
      </c>
    </row>
    <row r="221" spans="1:4" ht="16.5" x14ac:dyDescent="0.15">
      <c r="A221" s="32">
        <v>405130</v>
      </c>
      <c r="B221" s="32" t="s">
        <v>729</v>
      </c>
      <c r="C221" s="32" t="s">
        <v>782</v>
      </c>
      <c r="D221" s="32">
        <v>513</v>
      </c>
    </row>
    <row r="222" spans="1:4" ht="16.5" x14ac:dyDescent="0.15">
      <c r="A222" s="32">
        <v>405140</v>
      </c>
      <c r="B222" s="32" t="s">
        <v>390</v>
      </c>
      <c r="C222" s="32" t="s">
        <v>782</v>
      </c>
      <c r="D222" s="32">
        <v>514</v>
      </c>
    </row>
    <row r="223" spans="1:4" ht="16.5" x14ac:dyDescent="0.15">
      <c r="A223" s="32">
        <v>405150</v>
      </c>
      <c r="B223" s="32" t="s">
        <v>413</v>
      </c>
      <c r="C223" s="32" t="s">
        <v>782</v>
      </c>
      <c r="D223" s="32">
        <v>515</v>
      </c>
    </row>
    <row r="224" spans="1:4" ht="16.5" x14ac:dyDescent="0.15">
      <c r="A224" s="34">
        <v>405160</v>
      </c>
      <c r="B224" s="33" t="s">
        <v>90</v>
      </c>
      <c r="C224" s="32" t="s">
        <v>782</v>
      </c>
      <c r="D224" s="33">
        <v>516</v>
      </c>
    </row>
    <row r="225" spans="1:4" ht="16.5" x14ac:dyDescent="0.15">
      <c r="A225" s="34">
        <v>405170</v>
      </c>
      <c r="B225" s="33" t="s">
        <v>629</v>
      </c>
      <c r="C225" s="32" t="s">
        <v>782</v>
      </c>
      <c r="D225" s="33">
        <v>517</v>
      </c>
    </row>
    <row r="226" spans="1:4" ht="16.5" x14ac:dyDescent="0.15">
      <c r="A226" s="32">
        <v>405180</v>
      </c>
      <c r="B226" s="32" t="s">
        <v>169</v>
      </c>
      <c r="C226" s="32" t="s">
        <v>782</v>
      </c>
      <c r="D226" s="32">
        <v>518</v>
      </c>
    </row>
    <row r="227" spans="1:4" ht="16.5" x14ac:dyDescent="0.15">
      <c r="A227" s="32">
        <v>405190</v>
      </c>
      <c r="B227" s="32" t="s">
        <v>773</v>
      </c>
      <c r="C227" s="32" t="s">
        <v>782</v>
      </c>
      <c r="D227" s="32">
        <v>519</v>
      </c>
    </row>
    <row r="228" spans="1:4" ht="16.5" x14ac:dyDescent="0.15">
      <c r="A228" s="32">
        <v>405200</v>
      </c>
      <c r="B228" s="32" t="s">
        <v>217</v>
      </c>
      <c r="C228" s="32" t="s">
        <v>782</v>
      </c>
      <c r="D228" s="32">
        <v>520</v>
      </c>
    </row>
    <row r="229" spans="1:4" ht="16.5" x14ac:dyDescent="0.15">
      <c r="A229" s="32">
        <v>405210</v>
      </c>
      <c r="B229" s="33" t="s">
        <v>429</v>
      </c>
      <c r="C229" s="32" t="s">
        <v>782</v>
      </c>
      <c r="D229" s="32">
        <v>521</v>
      </c>
    </row>
    <row r="230" spans="1:4" ht="16.5" x14ac:dyDescent="0.15">
      <c r="A230" s="32">
        <v>405220</v>
      </c>
      <c r="B230" s="32" t="s">
        <v>340</v>
      </c>
      <c r="C230" s="32" t="s">
        <v>782</v>
      </c>
      <c r="D230" s="32">
        <v>522</v>
      </c>
    </row>
    <row r="231" spans="1:4" ht="16.5" x14ac:dyDescent="0.15">
      <c r="A231" s="32">
        <v>405230</v>
      </c>
      <c r="B231" s="33" t="s">
        <v>584</v>
      </c>
      <c r="C231" s="32" t="s">
        <v>782</v>
      </c>
      <c r="D231" s="32">
        <v>523</v>
      </c>
    </row>
    <row r="232" spans="1:4" ht="16.5" x14ac:dyDescent="0.15">
      <c r="A232" s="32">
        <v>405240</v>
      </c>
      <c r="B232" s="33" t="s">
        <v>774</v>
      </c>
      <c r="C232" s="32" t="s">
        <v>782</v>
      </c>
      <c r="D232" s="32">
        <v>524</v>
      </c>
    </row>
    <row r="233" spans="1:4" ht="16.5" x14ac:dyDescent="0.15">
      <c r="A233" s="32">
        <v>405255</v>
      </c>
      <c r="B233" s="32" t="s">
        <v>426</v>
      </c>
      <c r="C233" s="32" t="s">
        <v>782</v>
      </c>
      <c r="D233" s="32">
        <v>525</v>
      </c>
    </row>
    <row r="234" spans="1:4" ht="16.5" x14ac:dyDescent="0.15">
      <c r="A234" s="32">
        <v>405260</v>
      </c>
      <c r="B234" s="32" t="s">
        <v>374</v>
      </c>
      <c r="C234" s="32" t="s">
        <v>782</v>
      </c>
      <c r="D234" s="32">
        <v>526</v>
      </c>
    </row>
    <row r="235" spans="1:4" ht="16.5" x14ac:dyDescent="0.15">
      <c r="A235" s="32">
        <v>405270</v>
      </c>
      <c r="B235" s="32" t="s">
        <v>412</v>
      </c>
      <c r="C235" s="32" t="s">
        <v>782</v>
      </c>
      <c r="D235" s="32">
        <v>527</v>
      </c>
    </row>
    <row r="236" spans="1:4" ht="16.5" x14ac:dyDescent="0.15">
      <c r="A236" s="32">
        <v>405280</v>
      </c>
      <c r="B236" s="32" t="s">
        <v>419</v>
      </c>
      <c r="C236" s="32" t="s">
        <v>782</v>
      </c>
      <c r="D236" s="32">
        <v>528</v>
      </c>
    </row>
    <row r="237" spans="1:4" ht="16.5" x14ac:dyDescent="0.15">
      <c r="A237" s="32">
        <v>405290</v>
      </c>
      <c r="B237" s="32" t="s">
        <v>500</v>
      </c>
      <c r="C237" s="32" t="s">
        <v>782</v>
      </c>
      <c r="D237" s="32">
        <v>529</v>
      </c>
    </row>
    <row r="238" spans="1:4" ht="16.5" x14ac:dyDescent="0.15">
      <c r="A238" s="32">
        <v>405300</v>
      </c>
      <c r="B238" s="32" t="s">
        <v>70</v>
      </c>
      <c r="C238" s="32" t="s">
        <v>782</v>
      </c>
      <c r="D238" s="32">
        <v>530</v>
      </c>
    </row>
    <row r="239" spans="1:4" ht="16.5" x14ac:dyDescent="0.15">
      <c r="A239" s="36">
        <v>405320</v>
      </c>
      <c r="B239" s="36" t="s">
        <v>775</v>
      </c>
      <c r="C239" s="33" t="s">
        <v>782</v>
      </c>
      <c r="D239" s="32">
        <v>532</v>
      </c>
    </row>
    <row r="240" spans="1:4" ht="16.5" x14ac:dyDescent="0.15">
      <c r="A240" s="32">
        <v>405330</v>
      </c>
      <c r="B240" s="32" t="s">
        <v>606</v>
      </c>
      <c r="C240" s="32" t="s">
        <v>782</v>
      </c>
      <c r="D240" s="32">
        <v>533</v>
      </c>
    </row>
    <row r="241" spans="1:4" ht="16.5" x14ac:dyDescent="0.15">
      <c r="A241" s="32">
        <v>405340</v>
      </c>
      <c r="B241" s="32" t="s">
        <v>376</v>
      </c>
      <c r="C241" s="32" t="s">
        <v>782</v>
      </c>
      <c r="D241" s="32">
        <v>534</v>
      </c>
    </row>
    <row r="242" spans="1:4" ht="16.5" x14ac:dyDescent="0.15">
      <c r="A242" s="32">
        <v>405350</v>
      </c>
      <c r="B242" s="32" t="s">
        <v>595</v>
      </c>
      <c r="C242" s="32" t="s">
        <v>782</v>
      </c>
      <c r="D242" s="32">
        <v>535</v>
      </c>
    </row>
    <row r="243" spans="1:4" ht="16.5" x14ac:dyDescent="0.15">
      <c r="A243" s="32">
        <v>405360</v>
      </c>
      <c r="B243" s="32" t="s">
        <v>399</v>
      </c>
      <c r="C243" s="32" t="s">
        <v>782</v>
      </c>
      <c r="D243" s="32">
        <v>536</v>
      </c>
    </row>
    <row r="244" spans="1:4" ht="16.5" x14ac:dyDescent="0.15">
      <c r="A244" s="32">
        <v>405370</v>
      </c>
      <c r="B244" s="32" t="s">
        <v>548</v>
      </c>
      <c r="C244" s="32" t="s">
        <v>782</v>
      </c>
      <c r="D244" s="32">
        <v>537</v>
      </c>
    </row>
    <row r="245" spans="1:4" ht="16.5" x14ac:dyDescent="0.15">
      <c r="A245" s="32">
        <v>405380</v>
      </c>
      <c r="B245" s="32" t="s">
        <v>171</v>
      </c>
      <c r="C245" s="32" t="s">
        <v>782</v>
      </c>
      <c r="D245" s="32">
        <v>538</v>
      </c>
    </row>
    <row r="246" spans="1:4" ht="16.5" x14ac:dyDescent="0.15">
      <c r="A246" s="32">
        <v>405390</v>
      </c>
      <c r="B246" s="32" t="s">
        <v>658</v>
      </c>
      <c r="C246" s="32" t="s">
        <v>782</v>
      </c>
      <c r="D246" s="32">
        <v>539</v>
      </c>
    </row>
    <row r="247" spans="1:4" ht="16.5" x14ac:dyDescent="0.15">
      <c r="A247" s="32">
        <v>405400</v>
      </c>
      <c r="B247" s="32" t="s">
        <v>153</v>
      </c>
      <c r="C247" s="32" t="s">
        <v>782</v>
      </c>
      <c r="D247" s="32">
        <v>540</v>
      </c>
    </row>
    <row r="248" spans="1:4" ht="16.5" x14ac:dyDescent="0.15">
      <c r="A248" s="33">
        <v>405410</v>
      </c>
      <c r="B248" s="33" t="s">
        <v>240</v>
      </c>
      <c r="C248" s="32" t="s">
        <v>782</v>
      </c>
      <c r="D248" s="33">
        <v>541</v>
      </c>
    </row>
    <row r="249" spans="1:4" ht="16.5" x14ac:dyDescent="0.15">
      <c r="A249" s="33">
        <v>405420</v>
      </c>
      <c r="B249" s="33" t="s">
        <v>553</v>
      </c>
      <c r="C249" s="32" t="s">
        <v>782</v>
      </c>
      <c r="D249" s="33">
        <v>542</v>
      </c>
    </row>
    <row r="250" spans="1:4" ht="16.5" x14ac:dyDescent="0.15">
      <c r="A250" s="33">
        <v>405430</v>
      </c>
      <c r="B250" s="33" t="s">
        <v>233</v>
      </c>
      <c r="C250" s="32" t="s">
        <v>782</v>
      </c>
      <c r="D250" s="33">
        <v>543</v>
      </c>
    </row>
    <row r="251" spans="1:4" ht="16.5" x14ac:dyDescent="0.15">
      <c r="A251" s="33">
        <v>405440</v>
      </c>
      <c r="B251" s="33" t="s">
        <v>280</v>
      </c>
      <c r="C251" s="32" t="s">
        <v>782</v>
      </c>
      <c r="D251" s="33">
        <v>544</v>
      </c>
    </row>
    <row r="252" spans="1:4" ht="16.5" x14ac:dyDescent="0.15">
      <c r="A252" s="33">
        <v>405450</v>
      </c>
      <c r="B252" s="33" t="s">
        <v>377</v>
      </c>
      <c r="C252" s="32" t="s">
        <v>782</v>
      </c>
      <c r="D252" s="33">
        <v>545</v>
      </c>
    </row>
    <row r="253" spans="1:4" ht="16.5" x14ac:dyDescent="0.15">
      <c r="A253" s="33">
        <v>405460</v>
      </c>
      <c r="B253" s="33" t="s">
        <v>193</v>
      </c>
      <c r="C253" s="32" t="s">
        <v>782</v>
      </c>
      <c r="D253" s="33">
        <v>546</v>
      </c>
    </row>
    <row r="254" spans="1:4" ht="16.5" x14ac:dyDescent="0.15">
      <c r="A254" s="33">
        <v>405470</v>
      </c>
      <c r="B254" s="33" t="s">
        <v>446</v>
      </c>
      <c r="C254" s="32" t="s">
        <v>782</v>
      </c>
      <c r="D254" s="33">
        <v>547</v>
      </c>
    </row>
    <row r="255" spans="1:4" ht="16.5" x14ac:dyDescent="0.15">
      <c r="A255" s="33">
        <v>405480</v>
      </c>
      <c r="B255" s="33" t="s">
        <v>646</v>
      </c>
      <c r="C255" s="32" t="s">
        <v>782</v>
      </c>
      <c r="D255" s="33">
        <v>548</v>
      </c>
    </row>
    <row r="256" spans="1:4" ht="16.5" x14ac:dyDescent="0.15">
      <c r="A256" s="33">
        <v>405490</v>
      </c>
      <c r="B256" s="33" t="s">
        <v>173</v>
      </c>
      <c r="C256" s="32" t="s">
        <v>782</v>
      </c>
      <c r="D256" s="33">
        <v>549</v>
      </c>
    </row>
    <row r="257" spans="1:4" ht="16.5" x14ac:dyDescent="0.15">
      <c r="A257" s="37">
        <v>405500</v>
      </c>
      <c r="B257" s="37" t="s">
        <v>142</v>
      </c>
      <c r="C257" s="38" t="s">
        <v>782</v>
      </c>
      <c r="D257" s="37">
        <v>550</v>
      </c>
    </row>
    <row r="258" spans="1:4" ht="16.5" x14ac:dyDescent="0.15">
      <c r="A258" s="33">
        <v>405510</v>
      </c>
      <c r="B258" s="33" t="s">
        <v>147</v>
      </c>
      <c r="C258" s="32" t="s">
        <v>782</v>
      </c>
      <c r="D258" s="33">
        <v>551</v>
      </c>
    </row>
    <row r="259" spans="1:4" ht="16.5" x14ac:dyDescent="0.15">
      <c r="A259" s="33">
        <v>405520</v>
      </c>
      <c r="B259" s="33" t="s">
        <v>346</v>
      </c>
      <c r="C259" s="32" t="s">
        <v>782</v>
      </c>
      <c r="D259" s="33">
        <v>552</v>
      </c>
    </row>
    <row r="260" spans="1:4" ht="16.5" x14ac:dyDescent="0.15">
      <c r="A260" s="33">
        <v>405530</v>
      </c>
      <c r="B260" s="33" t="s">
        <v>432</v>
      </c>
      <c r="C260" s="32" t="s">
        <v>782</v>
      </c>
      <c r="D260" s="33">
        <v>553</v>
      </c>
    </row>
    <row r="261" spans="1:4" ht="16.5" x14ac:dyDescent="0.15">
      <c r="A261" s="33">
        <v>405540</v>
      </c>
      <c r="B261" s="33" t="s">
        <v>144</v>
      </c>
      <c r="C261" s="32" t="s">
        <v>782</v>
      </c>
      <c r="D261" s="33">
        <v>554</v>
      </c>
    </row>
    <row r="262" spans="1:4" ht="16.5" x14ac:dyDescent="0.15">
      <c r="A262" s="33">
        <v>405550</v>
      </c>
      <c r="B262" s="33" t="s">
        <v>76</v>
      </c>
      <c r="C262" s="32" t="s">
        <v>782</v>
      </c>
      <c r="D262" s="33">
        <v>555</v>
      </c>
    </row>
    <row r="263" spans="1:4" ht="16.5" x14ac:dyDescent="0.15">
      <c r="A263" s="33">
        <v>405560</v>
      </c>
      <c r="B263" s="33" t="s">
        <v>187</v>
      </c>
      <c r="C263" s="32" t="s">
        <v>782</v>
      </c>
      <c r="D263" s="33">
        <v>556</v>
      </c>
    </row>
    <row r="264" spans="1:4" ht="16.5" x14ac:dyDescent="0.15">
      <c r="A264" s="33">
        <v>405570</v>
      </c>
      <c r="B264" s="33" t="s">
        <v>246</v>
      </c>
      <c r="C264" s="32" t="s">
        <v>782</v>
      </c>
      <c r="D264" s="33">
        <v>557</v>
      </c>
    </row>
    <row r="265" spans="1:4" ht="16.5" x14ac:dyDescent="0.15">
      <c r="A265" s="33">
        <v>405580</v>
      </c>
      <c r="B265" s="33" t="s">
        <v>621</v>
      </c>
      <c r="C265" s="32" t="s">
        <v>782</v>
      </c>
      <c r="D265" s="33">
        <v>558</v>
      </c>
    </row>
    <row r="266" spans="1:4" ht="16.5" x14ac:dyDescent="0.15">
      <c r="A266" s="33">
        <v>405590</v>
      </c>
      <c r="B266" s="33" t="s">
        <v>86</v>
      </c>
      <c r="C266" s="32" t="s">
        <v>782</v>
      </c>
      <c r="D266" s="33">
        <v>559</v>
      </c>
    </row>
    <row r="267" spans="1:4" ht="16.5" x14ac:dyDescent="0.15">
      <c r="A267" s="33">
        <v>405600</v>
      </c>
      <c r="B267" s="33" t="s">
        <v>85</v>
      </c>
      <c r="C267" s="32" t="s">
        <v>782</v>
      </c>
      <c r="D267" s="33">
        <v>560</v>
      </c>
    </row>
    <row r="268" spans="1:4" ht="16.5" x14ac:dyDescent="0.15">
      <c r="A268" s="33">
        <v>405610</v>
      </c>
      <c r="B268" s="33" t="s">
        <v>127</v>
      </c>
      <c r="C268" s="32" t="s">
        <v>782</v>
      </c>
      <c r="D268" s="33">
        <v>561</v>
      </c>
    </row>
    <row r="269" spans="1:4" ht="16.5" x14ac:dyDescent="0.15">
      <c r="A269" s="33">
        <v>405620</v>
      </c>
      <c r="B269" s="33" t="s">
        <v>539</v>
      </c>
      <c r="C269" s="32" t="s">
        <v>782</v>
      </c>
      <c r="D269" s="33">
        <v>562</v>
      </c>
    </row>
    <row r="270" spans="1:4" ht="16.5" x14ac:dyDescent="0.15">
      <c r="A270" s="33">
        <v>405630</v>
      </c>
      <c r="B270" s="33" t="s">
        <v>484</v>
      </c>
      <c r="C270" s="32" t="s">
        <v>782</v>
      </c>
      <c r="D270" s="33">
        <v>563</v>
      </c>
    </row>
    <row r="271" spans="1:4" ht="16.5" x14ac:dyDescent="0.15">
      <c r="A271" s="33">
        <v>405640</v>
      </c>
      <c r="B271" s="33" t="s">
        <v>165</v>
      </c>
      <c r="C271" s="32" t="s">
        <v>782</v>
      </c>
      <c r="D271" s="33">
        <v>564</v>
      </c>
    </row>
    <row r="272" spans="1:4" ht="16.5" x14ac:dyDescent="0.15">
      <c r="A272" s="33">
        <v>405650</v>
      </c>
      <c r="B272" s="33" t="s">
        <v>531</v>
      </c>
      <c r="C272" s="32" t="s">
        <v>782</v>
      </c>
      <c r="D272" s="33">
        <v>565</v>
      </c>
    </row>
    <row r="273" spans="1:4" ht="16.5" x14ac:dyDescent="0.15">
      <c r="A273" s="37">
        <v>405660</v>
      </c>
      <c r="B273" s="37" t="s">
        <v>92</v>
      </c>
      <c r="C273" s="38" t="s">
        <v>782</v>
      </c>
      <c r="D273" s="37">
        <v>566</v>
      </c>
    </row>
    <row r="274" spans="1:4" ht="16.5" x14ac:dyDescent="0.15">
      <c r="A274" s="38">
        <v>405670</v>
      </c>
      <c r="B274" s="37" t="s">
        <v>237</v>
      </c>
      <c r="C274" s="37" t="s">
        <v>782</v>
      </c>
      <c r="D274" s="38">
        <v>567</v>
      </c>
    </row>
    <row r="275" spans="1:4" ht="16.5" x14ac:dyDescent="0.15">
      <c r="A275" s="38">
        <v>405680</v>
      </c>
      <c r="B275" s="37" t="s">
        <v>94</v>
      </c>
      <c r="C275" s="37" t="s">
        <v>782</v>
      </c>
      <c r="D275" s="37">
        <v>568</v>
      </c>
    </row>
    <row r="276" spans="1:4" ht="16.5" x14ac:dyDescent="0.15">
      <c r="A276" s="32">
        <v>405800</v>
      </c>
      <c r="B276" s="39" t="s">
        <v>776</v>
      </c>
      <c r="C276" s="33" t="s">
        <v>782</v>
      </c>
      <c r="D276" s="33">
        <v>580</v>
      </c>
    </row>
    <row r="277" spans="1:4" ht="16.5" x14ac:dyDescent="0.15">
      <c r="A277" s="40">
        <v>405810</v>
      </c>
      <c r="B277" s="40" t="s">
        <v>41</v>
      </c>
      <c r="C277" s="40" t="s">
        <v>782</v>
      </c>
      <c r="D277" s="40">
        <v>581</v>
      </c>
    </row>
    <row r="278" spans="1:4" ht="16.5" x14ac:dyDescent="0.15">
      <c r="A278" s="41">
        <v>405820</v>
      </c>
      <c r="B278" s="41" t="s">
        <v>63</v>
      </c>
      <c r="C278" s="41" t="s">
        <v>782</v>
      </c>
      <c r="D278" s="42">
        <v>582</v>
      </c>
    </row>
    <row r="279" spans="1:4" ht="16.5" x14ac:dyDescent="0.15">
      <c r="A279" s="32">
        <v>406000</v>
      </c>
      <c r="B279" s="33" t="s">
        <v>266</v>
      </c>
      <c r="C279" s="32" t="s">
        <v>782</v>
      </c>
      <c r="D279" s="33">
        <v>600</v>
      </c>
    </row>
    <row r="280" spans="1:4" ht="16.5" x14ac:dyDescent="0.15">
      <c r="A280" s="32">
        <v>406010</v>
      </c>
      <c r="B280" s="33" t="s">
        <v>521</v>
      </c>
      <c r="C280" s="32" t="s">
        <v>782</v>
      </c>
      <c r="D280" s="33">
        <v>601</v>
      </c>
    </row>
    <row r="281" spans="1:4" ht="16.5" x14ac:dyDescent="0.15">
      <c r="A281" s="32">
        <v>406020</v>
      </c>
      <c r="B281" s="33" t="s">
        <v>468</v>
      </c>
      <c r="C281" s="32" t="s">
        <v>782</v>
      </c>
      <c r="D281" s="33">
        <v>602</v>
      </c>
    </row>
    <row r="282" spans="1:4" ht="16.5" x14ac:dyDescent="0.15">
      <c r="A282" s="32">
        <v>406030</v>
      </c>
      <c r="B282" s="33" t="s">
        <v>436</v>
      </c>
      <c r="C282" s="32" t="s">
        <v>782</v>
      </c>
      <c r="D282" s="33">
        <v>603</v>
      </c>
    </row>
    <row r="283" spans="1:4" ht="16.5" x14ac:dyDescent="0.15">
      <c r="A283" s="32">
        <v>406040</v>
      </c>
      <c r="B283" s="32" t="s">
        <v>370</v>
      </c>
      <c r="C283" s="32" t="s">
        <v>782</v>
      </c>
      <c r="D283" s="32">
        <v>604</v>
      </c>
    </row>
    <row r="284" spans="1:4" ht="16.5" x14ac:dyDescent="0.15">
      <c r="A284" s="32">
        <v>406050</v>
      </c>
      <c r="B284" s="32" t="s">
        <v>398</v>
      </c>
      <c r="C284" s="32" t="s">
        <v>782</v>
      </c>
      <c r="D284" s="32">
        <v>605</v>
      </c>
    </row>
    <row r="285" spans="1:4" ht="16.5" x14ac:dyDescent="0.15">
      <c r="A285" s="32">
        <v>406060</v>
      </c>
      <c r="B285" s="32" t="s">
        <v>731</v>
      </c>
      <c r="C285" s="32" t="s">
        <v>782</v>
      </c>
      <c r="D285" s="32">
        <v>606</v>
      </c>
    </row>
    <row r="286" spans="1:4" ht="16.5" x14ac:dyDescent="0.15">
      <c r="A286" s="32">
        <v>406070</v>
      </c>
      <c r="B286" s="32" t="s">
        <v>459</v>
      </c>
      <c r="C286" s="32" t="s">
        <v>782</v>
      </c>
      <c r="D286" s="32">
        <v>607</v>
      </c>
    </row>
    <row r="287" spans="1:4" ht="16.5" x14ac:dyDescent="0.15">
      <c r="A287" s="32">
        <v>406080</v>
      </c>
      <c r="B287" s="32" t="s">
        <v>254</v>
      </c>
      <c r="C287" s="32" t="s">
        <v>782</v>
      </c>
      <c r="D287" s="32">
        <v>608</v>
      </c>
    </row>
    <row r="288" spans="1:4" ht="16.5" x14ac:dyDescent="0.15">
      <c r="A288" s="33">
        <v>406090</v>
      </c>
      <c r="B288" s="33" t="s">
        <v>175</v>
      </c>
      <c r="C288" s="32" t="s">
        <v>782</v>
      </c>
      <c r="D288" s="33">
        <v>609</v>
      </c>
    </row>
    <row r="289" spans="1:4" ht="16.5" x14ac:dyDescent="0.15">
      <c r="A289" s="33">
        <v>406100</v>
      </c>
      <c r="B289" s="33" t="s">
        <v>136</v>
      </c>
      <c r="C289" s="32" t="s">
        <v>782</v>
      </c>
      <c r="D289" s="33">
        <v>610</v>
      </c>
    </row>
    <row r="290" spans="1:4" ht="16.5" x14ac:dyDescent="0.15">
      <c r="A290" s="32">
        <v>406110</v>
      </c>
      <c r="B290" s="32" t="s">
        <v>258</v>
      </c>
      <c r="C290" s="33" t="s">
        <v>782</v>
      </c>
      <c r="D290" s="32">
        <v>611</v>
      </c>
    </row>
    <row r="291" spans="1:4" ht="16.5" x14ac:dyDescent="0.15">
      <c r="A291" s="32">
        <v>406500</v>
      </c>
      <c r="B291" s="33" t="s">
        <v>371</v>
      </c>
      <c r="C291" s="32" t="s">
        <v>782</v>
      </c>
      <c r="D291" s="32">
        <v>650</v>
      </c>
    </row>
    <row r="292" spans="1:4" ht="16.5" x14ac:dyDescent="0.15">
      <c r="A292" s="32">
        <v>406510</v>
      </c>
      <c r="B292" s="33" t="s">
        <v>568</v>
      </c>
      <c r="C292" s="32" t="s">
        <v>782</v>
      </c>
      <c r="D292" s="32">
        <v>651</v>
      </c>
    </row>
    <row r="293" spans="1:4" ht="16.5" x14ac:dyDescent="0.15">
      <c r="A293" s="32">
        <v>406520</v>
      </c>
      <c r="B293" s="33" t="s">
        <v>612</v>
      </c>
      <c r="C293" s="32" t="s">
        <v>782</v>
      </c>
      <c r="D293" s="32">
        <v>652</v>
      </c>
    </row>
    <row r="294" spans="1:4" ht="16.5" x14ac:dyDescent="0.15">
      <c r="A294" s="32">
        <v>406530</v>
      </c>
      <c r="B294" s="33" t="s">
        <v>397</v>
      </c>
      <c r="C294" s="32" t="s">
        <v>782</v>
      </c>
      <c r="D294" s="32">
        <v>653</v>
      </c>
    </row>
    <row r="295" spans="1:4" ht="16.5" x14ac:dyDescent="0.15">
      <c r="A295" s="33">
        <v>406540</v>
      </c>
      <c r="B295" s="33" t="s">
        <v>288</v>
      </c>
      <c r="C295" s="33" t="s">
        <v>782</v>
      </c>
      <c r="D295" s="33">
        <v>654</v>
      </c>
    </row>
    <row r="296" spans="1:4" ht="16.5" x14ac:dyDescent="0.15">
      <c r="A296" s="32">
        <v>407000</v>
      </c>
      <c r="B296" s="32" t="s">
        <v>587</v>
      </c>
      <c r="C296" s="32" t="s">
        <v>782</v>
      </c>
      <c r="D296" s="32">
        <v>700</v>
      </c>
    </row>
    <row r="297" spans="1:4" ht="16.5" x14ac:dyDescent="0.15">
      <c r="A297" s="32">
        <v>407010</v>
      </c>
      <c r="B297" s="32" t="s">
        <v>514</v>
      </c>
      <c r="C297" s="32" t="s">
        <v>782</v>
      </c>
      <c r="D297" s="32">
        <v>701</v>
      </c>
    </row>
    <row r="298" spans="1:4" ht="16.5" x14ac:dyDescent="0.15">
      <c r="A298" s="32">
        <v>407020</v>
      </c>
      <c r="B298" s="32" t="s">
        <v>734</v>
      </c>
      <c r="C298" s="32" t="s">
        <v>782</v>
      </c>
      <c r="D298" s="32">
        <v>702</v>
      </c>
    </row>
    <row r="299" spans="1:4" ht="16.5" x14ac:dyDescent="0.15">
      <c r="A299" s="32">
        <v>407030</v>
      </c>
      <c r="B299" s="32" t="s">
        <v>529</v>
      </c>
      <c r="C299" s="32" t="s">
        <v>782</v>
      </c>
      <c r="D299" s="32">
        <v>703</v>
      </c>
    </row>
    <row r="300" spans="1:4" ht="16.5" x14ac:dyDescent="0.15">
      <c r="A300" s="32">
        <v>407040</v>
      </c>
      <c r="B300" s="32" t="s">
        <v>58</v>
      </c>
      <c r="C300" s="32" t="s">
        <v>782</v>
      </c>
      <c r="D300" s="32">
        <v>704</v>
      </c>
    </row>
    <row r="301" spans="1:4" ht="16.5" x14ac:dyDescent="0.15">
      <c r="A301" s="32">
        <v>408010</v>
      </c>
      <c r="B301" s="33" t="s">
        <v>106</v>
      </c>
      <c r="C301" s="32" t="s">
        <v>782</v>
      </c>
      <c r="D301" s="32">
        <v>801</v>
      </c>
    </row>
    <row r="302" spans="1:4" ht="16.5" x14ac:dyDescent="0.15">
      <c r="A302" s="32">
        <v>408020</v>
      </c>
      <c r="B302" s="33" t="s">
        <v>467</v>
      </c>
      <c r="C302" s="32" t="s">
        <v>782</v>
      </c>
      <c r="D302" s="32">
        <v>802</v>
      </c>
    </row>
    <row r="303" spans="1:4" ht="16.5" x14ac:dyDescent="0.15">
      <c r="A303" s="32">
        <v>408030</v>
      </c>
      <c r="B303" s="33" t="s">
        <v>277</v>
      </c>
      <c r="C303" s="32" t="s">
        <v>782</v>
      </c>
      <c r="D303" s="32">
        <v>803</v>
      </c>
    </row>
    <row r="304" spans="1:4" ht="16.5" x14ac:dyDescent="0.15">
      <c r="A304" s="32">
        <v>408040</v>
      </c>
      <c r="B304" s="32" t="s">
        <v>72</v>
      </c>
      <c r="C304" s="32" t="s">
        <v>782</v>
      </c>
      <c r="D304" s="32">
        <v>804</v>
      </c>
    </row>
    <row r="305" spans="1:4" ht="16.5" x14ac:dyDescent="0.15">
      <c r="A305" s="33">
        <v>408050</v>
      </c>
      <c r="B305" s="33" t="s">
        <v>115</v>
      </c>
      <c r="C305" s="32" t="s">
        <v>782</v>
      </c>
      <c r="D305" s="33">
        <v>805</v>
      </c>
    </row>
    <row r="306" spans="1:4" ht="16.5" x14ac:dyDescent="0.15">
      <c r="A306" s="33">
        <v>408060</v>
      </c>
      <c r="B306" s="33" t="s">
        <v>52</v>
      </c>
      <c r="C306" s="32" t="s">
        <v>782</v>
      </c>
      <c r="D306" s="33">
        <v>806</v>
      </c>
    </row>
    <row r="307" spans="1:4" ht="16.5" x14ac:dyDescent="0.15">
      <c r="A307" s="43">
        <v>408500</v>
      </c>
      <c r="B307" s="43" t="s">
        <v>504</v>
      </c>
      <c r="C307" s="43" t="s">
        <v>782</v>
      </c>
      <c r="D307" s="43">
        <v>850</v>
      </c>
    </row>
    <row r="308" spans="1:4" ht="16.5" x14ac:dyDescent="0.15">
      <c r="A308" s="43">
        <v>408510</v>
      </c>
      <c r="B308" s="43" t="s">
        <v>440</v>
      </c>
      <c r="C308" s="43" t="s">
        <v>782</v>
      </c>
      <c r="D308" s="43">
        <v>851</v>
      </c>
    </row>
    <row r="309" spans="1:4" ht="16.5" x14ac:dyDescent="0.15">
      <c r="A309" s="43">
        <v>408520</v>
      </c>
      <c r="B309" s="43" t="s">
        <v>407</v>
      </c>
      <c r="C309" s="43" t="s">
        <v>782</v>
      </c>
      <c r="D309" s="43">
        <v>852</v>
      </c>
    </row>
    <row r="310" spans="1:4" ht="16.5" x14ac:dyDescent="0.15">
      <c r="A310" s="43">
        <v>408530</v>
      </c>
      <c r="B310" s="43" t="s">
        <v>618</v>
      </c>
      <c r="C310" s="43" t="s">
        <v>782</v>
      </c>
      <c r="D310" s="43">
        <v>853</v>
      </c>
    </row>
    <row r="311" spans="1:4" ht="16.5" x14ac:dyDescent="0.15">
      <c r="A311" s="32">
        <v>409320</v>
      </c>
      <c r="B311" s="32" t="s">
        <v>273</v>
      </c>
      <c r="C311" s="33" t="s">
        <v>782</v>
      </c>
      <c r="D311" s="32">
        <v>932</v>
      </c>
    </row>
    <row r="312" spans="1:4" ht="16.5" x14ac:dyDescent="0.15">
      <c r="A312" s="43">
        <v>409500</v>
      </c>
      <c r="B312" s="43" t="s">
        <v>368</v>
      </c>
      <c r="C312" s="43" t="s">
        <v>782</v>
      </c>
      <c r="D312" s="43">
        <v>950</v>
      </c>
    </row>
    <row r="313" spans="1:4" ht="16.5" x14ac:dyDescent="0.15">
      <c r="A313" s="44">
        <v>409510</v>
      </c>
      <c r="B313" s="44" t="s">
        <v>515</v>
      </c>
      <c r="C313" s="44" t="s">
        <v>782</v>
      </c>
      <c r="D313" s="44">
        <v>951</v>
      </c>
    </row>
    <row r="314" spans="1:4" ht="16.5" x14ac:dyDescent="0.15">
      <c r="A314" s="32">
        <v>409520</v>
      </c>
      <c r="B314" s="32" t="s">
        <v>497</v>
      </c>
      <c r="C314" s="32" t="s">
        <v>782</v>
      </c>
      <c r="D314" s="32">
        <v>952</v>
      </c>
    </row>
    <row r="315" spans="1:4" ht="16.5" x14ac:dyDescent="0.15">
      <c r="A315" s="32">
        <v>409530</v>
      </c>
      <c r="B315" s="32" t="s">
        <v>361</v>
      </c>
      <c r="C315" s="32" t="s">
        <v>782</v>
      </c>
      <c r="D315" s="32">
        <v>953</v>
      </c>
    </row>
    <row r="316" spans="1:4" ht="16.5" x14ac:dyDescent="0.15">
      <c r="A316" s="33">
        <v>409540</v>
      </c>
      <c r="B316" s="33" t="s">
        <v>219</v>
      </c>
      <c r="C316" s="32" t="s">
        <v>782</v>
      </c>
      <c r="D316" s="33">
        <v>954</v>
      </c>
    </row>
    <row r="317" spans="1:4" ht="16.5" x14ac:dyDescent="0.15">
      <c r="A317" s="33">
        <v>409550</v>
      </c>
      <c r="B317" s="33" t="s">
        <v>537</v>
      </c>
      <c r="C317" s="32" t="s">
        <v>782</v>
      </c>
      <c r="D317" s="33">
        <v>955</v>
      </c>
    </row>
    <row r="318" spans="1:4" ht="16.5" x14ac:dyDescent="0.15">
      <c r="A318" s="33">
        <v>409560</v>
      </c>
      <c r="B318" s="33" t="s">
        <v>114</v>
      </c>
      <c r="C318" s="33" t="s">
        <v>782</v>
      </c>
      <c r="D318" s="33">
        <v>956</v>
      </c>
    </row>
    <row r="319" spans="1:4" ht="16.5" x14ac:dyDescent="0.15">
      <c r="A319" s="33">
        <v>409800</v>
      </c>
      <c r="B319" s="33" t="s">
        <v>406</v>
      </c>
      <c r="C319" s="32" t="s">
        <v>782</v>
      </c>
      <c r="D319" s="33">
        <v>980</v>
      </c>
    </row>
    <row r="320" spans="1:4" ht="16.5" x14ac:dyDescent="0.15">
      <c r="A320" s="33">
        <v>409810</v>
      </c>
      <c r="B320" s="33" t="s">
        <v>479</v>
      </c>
      <c r="C320" s="32" t="s">
        <v>782</v>
      </c>
      <c r="D320" s="33">
        <v>981</v>
      </c>
    </row>
    <row r="321" spans="1:4" ht="16.5" x14ac:dyDescent="0.15">
      <c r="A321" s="33">
        <v>409990</v>
      </c>
      <c r="B321" s="33" t="s">
        <v>42</v>
      </c>
      <c r="C321" s="33" t="s">
        <v>782</v>
      </c>
      <c r="D321" s="32">
        <v>999</v>
      </c>
    </row>
    <row r="322" spans="1:4" ht="16.5" x14ac:dyDescent="0.15">
      <c r="A322" s="33">
        <v>419000</v>
      </c>
      <c r="B322" s="33" t="s">
        <v>442</v>
      </c>
      <c r="C322" s="32" t="s">
        <v>782</v>
      </c>
      <c r="D322" s="33">
        <v>1900</v>
      </c>
    </row>
    <row r="323" spans="1:4" ht="16.5" x14ac:dyDescent="0.15">
      <c r="A323" s="32">
        <v>420140</v>
      </c>
      <c r="B323" s="32" t="s">
        <v>494</v>
      </c>
      <c r="C323" s="32" t="s">
        <v>782</v>
      </c>
      <c r="D323" s="32">
        <v>2014</v>
      </c>
    </row>
    <row r="324" spans="1:4" ht="16.5" x14ac:dyDescent="0.15">
      <c r="A324" s="32">
        <v>420290</v>
      </c>
      <c r="B324" s="32" t="s">
        <v>643</v>
      </c>
      <c r="C324" s="32" t="s">
        <v>782</v>
      </c>
      <c r="D324" s="32">
        <v>2029</v>
      </c>
    </row>
    <row r="325" spans="1:4" ht="16.5" x14ac:dyDescent="0.15">
      <c r="A325" s="32">
        <v>420440</v>
      </c>
      <c r="B325" s="32" t="s">
        <v>471</v>
      </c>
      <c r="C325" s="32" t="s">
        <v>782</v>
      </c>
      <c r="D325" s="32">
        <v>2044</v>
      </c>
    </row>
    <row r="326" spans="1:4" ht="16.5" x14ac:dyDescent="0.15">
      <c r="A326" s="32">
        <v>420540</v>
      </c>
      <c r="B326" s="32" t="s">
        <v>245</v>
      </c>
      <c r="C326" s="32" t="s">
        <v>782</v>
      </c>
      <c r="D326" s="32">
        <v>2054</v>
      </c>
    </row>
    <row r="327" spans="1:4" ht="16.5" x14ac:dyDescent="0.15">
      <c r="A327" s="32">
        <v>420550</v>
      </c>
      <c r="B327" s="32" t="s">
        <v>632</v>
      </c>
      <c r="C327" s="32" t="s">
        <v>782</v>
      </c>
      <c r="D327" s="32">
        <v>2055</v>
      </c>
    </row>
    <row r="328" spans="1:4" ht="16.5" x14ac:dyDescent="0.15">
      <c r="A328" s="32">
        <v>420560</v>
      </c>
      <c r="B328" s="32" t="s">
        <v>616</v>
      </c>
      <c r="C328" s="32" t="s">
        <v>782</v>
      </c>
      <c r="D328" s="32">
        <v>2056</v>
      </c>
    </row>
    <row r="329" spans="1:4" ht="16.5" x14ac:dyDescent="0.15">
      <c r="A329" s="32">
        <v>420570</v>
      </c>
      <c r="B329" s="32" t="s">
        <v>733</v>
      </c>
      <c r="C329" s="32" t="s">
        <v>782</v>
      </c>
      <c r="D329" s="32">
        <v>2057</v>
      </c>
    </row>
    <row r="330" spans="1:4" ht="16.5" x14ac:dyDescent="0.15">
      <c r="A330" s="32">
        <v>420590</v>
      </c>
      <c r="B330" s="32" t="s">
        <v>706</v>
      </c>
      <c r="C330" s="32" t="s">
        <v>782</v>
      </c>
      <c r="D330" s="32">
        <v>2059</v>
      </c>
    </row>
    <row r="331" spans="1:4" ht="16.5" x14ac:dyDescent="0.15">
      <c r="A331" s="32">
        <v>420610</v>
      </c>
      <c r="B331" s="33" t="s">
        <v>557</v>
      </c>
      <c r="C331" s="32" t="s">
        <v>782</v>
      </c>
      <c r="D331" s="32">
        <v>2061</v>
      </c>
    </row>
    <row r="332" spans="1:4" ht="16.5" x14ac:dyDescent="0.15">
      <c r="A332" s="32">
        <v>420690</v>
      </c>
      <c r="B332" s="33" t="s">
        <v>581</v>
      </c>
      <c r="C332" s="32" t="s">
        <v>782</v>
      </c>
      <c r="D332" s="32">
        <v>2069</v>
      </c>
    </row>
    <row r="333" spans="1:4" ht="16.5" x14ac:dyDescent="0.15">
      <c r="A333" s="32">
        <v>420700</v>
      </c>
      <c r="B333" s="33" t="s">
        <v>466</v>
      </c>
      <c r="C333" s="32" t="s">
        <v>782</v>
      </c>
      <c r="D333" s="32">
        <v>2070</v>
      </c>
    </row>
    <row r="334" spans="1:4" ht="16.5" x14ac:dyDescent="0.15">
      <c r="A334" s="32">
        <v>420710</v>
      </c>
      <c r="B334" s="33" t="s">
        <v>676</v>
      </c>
      <c r="C334" s="32" t="s">
        <v>782</v>
      </c>
      <c r="D334" s="32">
        <v>2071</v>
      </c>
    </row>
    <row r="335" spans="1:4" ht="16.5" x14ac:dyDescent="0.15">
      <c r="A335" s="32">
        <v>420720</v>
      </c>
      <c r="B335" s="33" t="s">
        <v>748</v>
      </c>
      <c r="C335" s="32" t="s">
        <v>782</v>
      </c>
      <c r="D335" s="32">
        <v>2072</v>
      </c>
    </row>
    <row r="336" spans="1:4" ht="16.5" x14ac:dyDescent="0.15">
      <c r="A336" s="32">
        <v>420730</v>
      </c>
      <c r="B336" s="33" t="s">
        <v>637</v>
      </c>
      <c r="C336" s="32" t="s">
        <v>782</v>
      </c>
      <c r="D336" s="32">
        <v>2073</v>
      </c>
    </row>
    <row r="337" spans="1:4" ht="16.5" x14ac:dyDescent="0.15">
      <c r="A337" s="32">
        <v>420740</v>
      </c>
      <c r="B337" s="33" t="s">
        <v>472</v>
      </c>
      <c r="C337" s="32" t="s">
        <v>782</v>
      </c>
      <c r="D337" s="32">
        <v>2074</v>
      </c>
    </row>
    <row r="338" spans="1:4" ht="16.5" x14ac:dyDescent="0.15">
      <c r="A338" s="32">
        <v>420790</v>
      </c>
      <c r="B338" s="33" t="s">
        <v>341</v>
      </c>
      <c r="C338" s="32" t="s">
        <v>782</v>
      </c>
      <c r="D338" s="32">
        <v>2079</v>
      </c>
    </row>
    <row r="339" spans="1:4" ht="16.5" x14ac:dyDescent="0.15">
      <c r="A339" s="32">
        <v>420820</v>
      </c>
      <c r="B339" s="33" t="s">
        <v>657</v>
      </c>
      <c r="C339" s="32" t="s">
        <v>782</v>
      </c>
      <c r="D339" s="32">
        <v>2082</v>
      </c>
    </row>
    <row r="340" spans="1:4" ht="16.5" x14ac:dyDescent="0.15">
      <c r="A340" s="32">
        <v>420840</v>
      </c>
      <c r="B340" s="33" t="s">
        <v>547</v>
      </c>
      <c r="C340" s="32" t="s">
        <v>782</v>
      </c>
      <c r="D340" s="32">
        <v>2084</v>
      </c>
    </row>
    <row r="341" spans="1:4" ht="16.5" x14ac:dyDescent="0.15">
      <c r="A341" s="32">
        <v>420860</v>
      </c>
      <c r="B341" s="32" t="s">
        <v>410</v>
      </c>
      <c r="C341" s="32" t="s">
        <v>782</v>
      </c>
      <c r="D341" s="32">
        <v>2086</v>
      </c>
    </row>
    <row r="342" spans="1:4" ht="16.5" x14ac:dyDescent="0.15">
      <c r="A342" s="32">
        <v>420890</v>
      </c>
      <c r="B342" s="32" t="s">
        <v>570</v>
      </c>
      <c r="C342" s="32" t="s">
        <v>782</v>
      </c>
      <c r="D342" s="32">
        <v>2089</v>
      </c>
    </row>
    <row r="343" spans="1:4" ht="16.5" x14ac:dyDescent="0.15">
      <c r="A343" s="33">
        <v>420900</v>
      </c>
      <c r="B343" s="33" t="s">
        <v>673</v>
      </c>
      <c r="C343" s="32" t="s">
        <v>782</v>
      </c>
      <c r="D343" s="33">
        <v>2090</v>
      </c>
    </row>
    <row r="344" spans="1:4" ht="16.5" x14ac:dyDescent="0.15">
      <c r="A344" s="33">
        <v>420940</v>
      </c>
      <c r="B344" s="33" t="s">
        <v>552</v>
      </c>
      <c r="C344" s="32" t="s">
        <v>782</v>
      </c>
      <c r="D344" s="33">
        <v>2094</v>
      </c>
    </row>
    <row r="345" spans="1:4" ht="16.5" x14ac:dyDescent="0.15">
      <c r="A345" s="33">
        <v>420950</v>
      </c>
      <c r="B345" s="33" t="s">
        <v>253</v>
      </c>
      <c r="C345" s="32" t="s">
        <v>782</v>
      </c>
      <c r="D345" s="33">
        <v>2095</v>
      </c>
    </row>
    <row r="346" spans="1:4" ht="16.5" x14ac:dyDescent="0.15">
      <c r="A346" s="33">
        <v>420990</v>
      </c>
      <c r="B346" s="33" t="s">
        <v>320</v>
      </c>
      <c r="C346" s="32" t="s">
        <v>782</v>
      </c>
      <c r="D346" s="33">
        <v>2099</v>
      </c>
    </row>
    <row r="347" spans="1:4" ht="16.5" x14ac:dyDescent="0.15">
      <c r="A347" s="33">
        <v>4010000</v>
      </c>
      <c r="B347" s="33" t="s">
        <v>575</v>
      </c>
      <c r="C347" s="32" t="s">
        <v>782</v>
      </c>
      <c r="D347" s="33">
        <v>1000</v>
      </c>
    </row>
    <row r="348" spans="1:4" ht="16.5" x14ac:dyDescent="0.15">
      <c r="A348" s="33">
        <v>4010040</v>
      </c>
      <c r="B348" s="33" t="s">
        <v>244</v>
      </c>
      <c r="C348" s="32" t="s">
        <v>782</v>
      </c>
      <c r="D348" s="33">
        <v>1004</v>
      </c>
    </row>
    <row r="349" spans="1:4" ht="16.5" x14ac:dyDescent="0.15">
      <c r="A349" s="33">
        <v>4010060</v>
      </c>
      <c r="B349" s="33" t="s">
        <v>318</v>
      </c>
      <c r="C349" s="32" t="s">
        <v>782</v>
      </c>
      <c r="D349" s="33">
        <v>1006</v>
      </c>
    </row>
    <row r="350" spans="1:4" ht="16.5" x14ac:dyDescent="0.15">
      <c r="A350" s="33">
        <v>4010070</v>
      </c>
      <c r="B350" s="33" t="s">
        <v>139</v>
      </c>
      <c r="C350" s="32" t="s">
        <v>782</v>
      </c>
      <c r="D350" s="33">
        <v>1007</v>
      </c>
    </row>
    <row r="351" spans="1:4" ht="16.5" x14ac:dyDescent="0.15">
      <c r="A351" s="33">
        <v>4010080</v>
      </c>
      <c r="B351" s="33" t="s">
        <v>518</v>
      </c>
      <c r="C351" s="32" t="s">
        <v>782</v>
      </c>
      <c r="D351" s="33">
        <v>1008</v>
      </c>
    </row>
    <row r="352" spans="1:4" ht="16.5" x14ac:dyDescent="0.15">
      <c r="A352" s="33">
        <v>4010090</v>
      </c>
      <c r="B352" s="33" t="s">
        <v>578</v>
      </c>
      <c r="C352" s="32" t="s">
        <v>782</v>
      </c>
      <c r="D352" s="33">
        <v>1009</v>
      </c>
    </row>
    <row r="353" spans="1:4" ht="16.5" x14ac:dyDescent="0.15">
      <c r="A353" s="33">
        <v>4010100</v>
      </c>
      <c r="B353" s="33" t="s">
        <v>626</v>
      </c>
      <c r="C353" s="32" t="s">
        <v>782</v>
      </c>
      <c r="D353" s="33">
        <v>1010</v>
      </c>
    </row>
    <row r="354" spans="1:4" ht="16.5" x14ac:dyDescent="0.15">
      <c r="A354" s="33">
        <v>4010110</v>
      </c>
      <c r="B354" s="33" t="s">
        <v>732</v>
      </c>
      <c r="C354" s="32" t="s">
        <v>782</v>
      </c>
      <c r="D354" s="33">
        <v>1011</v>
      </c>
    </row>
    <row r="355" spans="1:4" ht="16.5" x14ac:dyDescent="0.15">
      <c r="A355" s="33">
        <v>4010120</v>
      </c>
      <c r="B355" s="33" t="s">
        <v>200</v>
      </c>
      <c r="C355" s="32" t="s">
        <v>782</v>
      </c>
      <c r="D355" s="33">
        <v>1012</v>
      </c>
    </row>
    <row r="356" spans="1:4" ht="16.5" x14ac:dyDescent="0.15">
      <c r="A356" s="33">
        <v>4010150</v>
      </c>
      <c r="B356" s="33" t="s">
        <v>417</v>
      </c>
      <c r="C356" s="32" t="s">
        <v>782</v>
      </c>
      <c r="D356" s="33">
        <v>1015</v>
      </c>
    </row>
    <row r="357" spans="1:4" ht="16.5" x14ac:dyDescent="0.15">
      <c r="A357" s="32">
        <v>4010160</v>
      </c>
      <c r="B357" s="32" t="s">
        <v>416</v>
      </c>
      <c r="C357" s="32" t="s">
        <v>782</v>
      </c>
      <c r="D357" s="32">
        <v>1016</v>
      </c>
    </row>
    <row r="358" spans="1:4" ht="16.5" x14ac:dyDescent="0.15">
      <c r="A358" s="33">
        <v>4010170</v>
      </c>
      <c r="B358" s="33" t="s">
        <v>104</v>
      </c>
      <c r="C358" s="32" t="s">
        <v>782</v>
      </c>
      <c r="D358" s="33">
        <v>1017</v>
      </c>
    </row>
    <row r="359" spans="1:4" ht="16.5" x14ac:dyDescent="0.15">
      <c r="A359" s="33">
        <v>4010180</v>
      </c>
      <c r="B359" s="33" t="s">
        <v>414</v>
      </c>
      <c r="C359" s="32" t="s">
        <v>782</v>
      </c>
      <c r="D359" s="33">
        <v>1018</v>
      </c>
    </row>
    <row r="360" spans="1:4" ht="16.5" x14ac:dyDescent="0.15">
      <c r="A360" s="33">
        <v>4010190</v>
      </c>
      <c r="B360" s="33" t="s">
        <v>339</v>
      </c>
      <c r="C360" s="32" t="s">
        <v>782</v>
      </c>
      <c r="D360" s="33">
        <v>1019</v>
      </c>
    </row>
    <row r="361" spans="1:4" ht="16.5" x14ac:dyDescent="0.15">
      <c r="A361" s="32">
        <v>4010200</v>
      </c>
      <c r="B361" s="33" t="s">
        <v>486</v>
      </c>
      <c r="C361" s="33" t="s">
        <v>782</v>
      </c>
      <c r="D361" s="33">
        <v>1020</v>
      </c>
    </row>
    <row r="362" spans="1:4" ht="16.5" x14ac:dyDescent="0.15">
      <c r="A362" s="32">
        <v>4010210</v>
      </c>
      <c r="B362" s="33" t="s">
        <v>321</v>
      </c>
      <c r="C362" s="33" t="s">
        <v>782</v>
      </c>
      <c r="D362" s="33">
        <v>1021</v>
      </c>
    </row>
    <row r="363" spans="1:4" ht="16.5" x14ac:dyDescent="0.15">
      <c r="A363" s="45">
        <v>4010220</v>
      </c>
      <c r="B363" s="45" t="s">
        <v>57</v>
      </c>
      <c r="C363" s="45" t="s">
        <v>782</v>
      </c>
      <c r="D363" s="45">
        <v>1022</v>
      </c>
    </row>
    <row r="364" spans="1:4" ht="16.5" x14ac:dyDescent="0.15">
      <c r="A364" s="33">
        <v>4010310</v>
      </c>
      <c r="B364" s="33" t="s">
        <v>215</v>
      </c>
      <c r="C364" s="32" t="s">
        <v>782</v>
      </c>
      <c r="D364" s="33">
        <v>1031</v>
      </c>
    </row>
    <row r="365" spans="1:4" ht="16.5" x14ac:dyDescent="0.15">
      <c r="A365" s="33">
        <v>4010320</v>
      </c>
      <c r="B365" s="33" t="s">
        <v>450</v>
      </c>
      <c r="C365" s="32" t="s">
        <v>782</v>
      </c>
      <c r="D365" s="33">
        <v>1032</v>
      </c>
    </row>
    <row r="366" spans="1:4" ht="16.5" x14ac:dyDescent="0.15">
      <c r="A366" s="33">
        <v>4010330</v>
      </c>
      <c r="B366" s="33" t="s">
        <v>84</v>
      </c>
      <c r="C366" s="32" t="s">
        <v>782</v>
      </c>
      <c r="D366" s="33">
        <v>1033</v>
      </c>
    </row>
    <row r="367" spans="1:4" ht="16.5" x14ac:dyDescent="0.15">
      <c r="A367" s="33">
        <v>4010340</v>
      </c>
      <c r="B367" s="33" t="s">
        <v>323</v>
      </c>
      <c r="C367" s="32" t="s">
        <v>782</v>
      </c>
      <c r="D367" s="33">
        <v>1034</v>
      </c>
    </row>
    <row r="368" spans="1:4" ht="16.5" x14ac:dyDescent="0.15">
      <c r="A368" s="33">
        <v>4010350</v>
      </c>
      <c r="B368" s="33" t="s">
        <v>227</v>
      </c>
      <c r="C368" s="33" t="s">
        <v>782</v>
      </c>
      <c r="D368" s="33">
        <v>1035</v>
      </c>
    </row>
    <row r="369" spans="1:4" ht="16.5" x14ac:dyDescent="0.15">
      <c r="A369" s="46">
        <v>4010360</v>
      </c>
      <c r="B369" s="33" t="s">
        <v>138</v>
      </c>
      <c r="C369" s="33" t="s">
        <v>782</v>
      </c>
      <c r="D369" s="32">
        <v>1036</v>
      </c>
    </row>
    <row r="370" spans="1:4" ht="16.5" x14ac:dyDescent="0.15">
      <c r="A370" s="32">
        <v>4010370</v>
      </c>
      <c r="B370" s="32" t="s">
        <v>287</v>
      </c>
      <c r="C370" s="33" t="s">
        <v>782</v>
      </c>
      <c r="D370" s="32">
        <v>1037</v>
      </c>
    </row>
    <row r="371" spans="1:4" ht="16.5" x14ac:dyDescent="0.15">
      <c r="A371" s="32">
        <v>4010500</v>
      </c>
      <c r="B371" s="32" t="s">
        <v>363</v>
      </c>
      <c r="C371" s="32" t="s">
        <v>782</v>
      </c>
      <c r="D371" s="32">
        <v>1050</v>
      </c>
    </row>
    <row r="372" spans="1:4" ht="16.5" x14ac:dyDescent="0.15">
      <c r="A372" s="32">
        <v>4010510</v>
      </c>
      <c r="B372" s="32" t="s">
        <v>241</v>
      </c>
      <c r="C372" s="32" t="s">
        <v>782</v>
      </c>
      <c r="D372" s="32">
        <v>1051</v>
      </c>
    </row>
    <row r="373" spans="1:4" ht="16.5" x14ac:dyDescent="0.15">
      <c r="A373" s="32">
        <v>4010520</v>
      </c>
      <c r="B373" s="32" t="s">
        <v>420</v>
      </c>
      <c r="C373" s="32" t="s">
        <v>782</v>
      </c>
      <c r="D373" s="32">
        <v>1052</v>
      </c>
    </row>
    <row r="374" spans="1:4" ht="16.5" x14ac:dyDescent="0.15">
      <c r="A374" s="32">
        <v>4010530</v>
      </c>
      <c r="B374" s="32" t="s">
        <v>559</v>
      </c>
      <c r="C374" s="32" t="s">
        <v>782</v>
      </c>
      <c r="D374" s="32">
        <v>1053</v>
      </c>
    </row>
    <row r="375" spans="1:4" ht="16.5" x14ac:dyDescent="0.15">
      <c r="A375" s="32">
        <v>4010540</v>
      </c>
      <c r="B375" s="32" t="s">
        <v>453</v>
      </c>
      <c r="C375" s="32" t="s">
        <v>782</v>
      </c>
      <c r="D375" s="32">
        <v>1054</v>
      </c>
    </row>
    <row r="376" spans="1:4" ht="16.5" x14ac:dyDescent="0.15">
      <c r="A376" s="32">
        <v>4010550</v>
      </c>
      <c r="B376" s="32" t="s">
        <v>556</v>
      </c>
      <c r="C376" s="32" t="s">
        <v>782</v>
      </c>
      <c r="D376" s="32">
        <v>1055</v>
      </c>
    </row>
    <row r="377" spans="1:4" ht="16.5" x14ac:dyDescent="0.15">
      <c r="A377" s="32">
        <v>4010560</v>
      </c>
      <c r="B377" s="32" t="s">
        <v>347</v>
      </c>
      <c r="C377" s="32" t="s">
        <v>782</v>
      </c>
      <c r="D377" s="32">
        <v>1056</v>
      </c>
    </row>
    <row r="378" spans="1:4" ht="16.5" x14ac:dyDescent="0.15">
      <c r="A378" s="32">
        <v>4010570</v>
      </c>
      <c r="B378" s="32" t="s">
        <v>379</v>
      </c>
      <c r="C378" s="32" t="s">
        <v>782</v>
      </c>
      <c r="D378" s="32">
        <v>1057</v>
      </c>
    </row>
    <row r="379" spans="1:4" ht="16.5" x14ac:dyDescent="0.15">
      <c r="A379" s="32">
        <v>4010580</v>
      </c>
      <c r="B379" s="32" t="s">
        <v>566</v>
      </c>
      <c r="C379" s="32" t="s">
        <v>782</v>
      </c>
      <c r="D379" s="32">
        <v>1058</v>
      </c>
    </row>
    <row r="380" spans="1:4" ht="16.5" x14ac:dyDescent="0.15">
      <c r="A380" s="32">
        <v>4010590</v>
      </c>
      <c r="B380" s="32" t="s">
        <v>435</v>
      </c>
      <c r="C380" s="32" t="s">
        <v>782</v>
      </c>
      <c r="D380" s="32">
        <v>1059</v>
      </c>
    </row>
    <row r="381" spans="1:4" ht="16.5" x14ac:dyDescent="0.15">
      <c r="A381" s="32">
        <v>4010600</v>
      </c>
      <c r="B381" s="32" t="s">
        <v>530</v>
      </c>
      <c r="C381" s="32" t="s">
        <v>782</v>
      </c>
      <c r="D381" s="32">
        <v>1060</v>
      </c>
    </row>
    <row r="382" spans="1:4" ht="16.5" x14ac:dyDescent="0.15">
      <c r="A382" s="32">
        <v>4010610</v>
      </c>
      <c r="B382" s="32" t="s">
        <v>383</v>
      </c>
      <c r="C382" s="32" t="s">
        <v>782</v>
      </c>
      <c r="D382" s="32">
        <v>1061</v>
      </c>
    </row>
    <row r="383" spans="1:4" ht="16.5" x14ac:dyDescent="0.15">
      <c r="A383" s="32">
        <v>4010620</v>
      </c>
      <c r="B383" s="32" t="s">
        <v>443</v>
      </c>
      <c r="C383" s="32" t="s">
        <v>782</v>
      </c>
      <c r="D383" s="32">
        <v>1062</v>
      </c>
    </row>
    <row r="384" spans="1:4" ht="16.5" x14ac:dyDescent="0.15">
      <c r="A384" s="32">
        <v>4010650</v>
      </c>
      <c r="B384" s="32" t="s">
        <v>549</v>
      </c>
      <c r="C384" s="32" t="s">
        <v>782</v>
      </c>
      <c r="D384" s="32">
        <v>1065</v>
      </c>
    </row>
    <row r="385" spans="1:4" ht="16.5" x14ac:dyDescent="0.15">
      <c r="A385" s="33">
        <v>4010660</v>
      </c>
      <c r="B385" s="33" t="s">
        <v>765</v>
      </c>
      <c r="C385" s="33" t="s">
        <v>782</v>
      </c>
      <c r="D385" s="33">
        <v>1066</v>
      </c>
    </row>
    <row r="386" spans="1:4" ht="16.5" x14ac:dyDescent="0.15">
      <c r="A386" s="32">
        <v>4010710</v>
      </c>
      <c r="B386" s="32" t="s">
        <v>226</v>
      </c>
      <c r="C386" s="32" t="s">
        <v>782</v>
      </c>
      <c r="D386" s="32">
        <v>1071</v>
      </c>
    </row>
    <row r="387" spans="1:4" ht="16.5" x14ac:dyDescent="0.15">
      <c r="A387" s="32">
        <v>4010720</v>
      </c>
      <c r="B387" s="32" t="s">
        <v>510</v>
      </c>
      <c r="C387" s="32" t="s">
        <v>782</v>
      </c>
      <c r="D387" s="32">
        <v>1072</v>
      </c>
    </row>
    <row r="388" spans="1:4" ht="16.5" x14ac:dyDescent="0.15">
      <c r="A388" s="32">
        <v>4010730</v>
      </c>
      <c r="B388" s="32" t="s">
        <v>46</v>
      </c>
      <c r="C388" s="32" t="s">
        <v>782</v>
      </c>
      <c r="D388" s="32">
        <v>1073</v>
      </c>
    </row>
    <row r="389" spans="1:4" ht="16.5" x14ac:dyDescent="0.15">
      <c r="A389" s="32">
        <v>4010740</v>
      </c>
      <c r="B389" s="32" t="s">
        <v>331</v>
      </c>
      <c r="C389" s="32" t="s">
        <v>782</v>
      </c>
      <c r="D389" s="32">
        <v>1074</v>
      </c>
    </row>
    <row r="390" spans="1:4" ht="16.5" x14ac:dyDescent="0.15">
      <c r="A390" s="32">
        <v>4010750</v>
      </c>
      <c r="B390" s="32" t="s">
        <v>188</v>
      </c>
      <c r="C390" s="32" t="s">
        <v>782</v>
      </c>
      <c r="D390" s="32">
        <v>1075</v>
      </c>
    </row>
    <row r="391" spans="1:4" ht="16.5" x14ac:dyDescent="0.15">
      <c r="A391" s="32">
        <v>4010760</v>
      </c>
      <c r="B391" s="32" t="s">
        <v>501</v>
      </c>
      <c r="C391" s="32" t="s">
        <v>782</v>
      </c>
      <c r="D391" s="32">
        <v>1076</v>
      </c>
    </row>
    <row r="392" spans="1:4" ht="16.5" x14ac:dyDescent="0.15">
      <c r="A392" s="32">
        <v>4010770</v>
      </c>
      <c r="B392" s="32" t="s">
        <v>358</v>
      </c>
      <c r="C392" s="32" t="s">
        <v>782</v>
      </c>
      <c r="D392" s="32">
        <v>1077</v>
      </c>
    </row>
    <row r="393" spans="1:4" ht="16.5" x14ac:dyDescent="0.15">
      <c r="A393" s="33">
        <v>4010780</v>
      </c>
      <c r="B393" s="33" t="s">
        <v>143</v>
      </c>
      <c r="C393" s="32" t="s">
        <v>782</v>
      </c>
      <c r="D393" s="33">
        <v>1078</v>
      </c>
    </row>
    <row r="394" spans="1:4" ht="16.5" x14ac:dyDescent="0.15">
      <c r="A394" s="33">
        <v>4010790</v>
      </c>
      <c r="B394" s="33" t="s">
        <v>502</v>
      </c>
      <c r="C394" s="32" t="s">
        <v>782</v>
      </c>
      <c r="D394" s="33">
        <v>1079</v>
      </c>
    </row>
    <row r="395" spans="1:4" ht="16.5" x14ac:dyDescent="0.15">
      <c r="A395" s="33">
        <v>4010800</v>
      </c>
      <c r="B395" s="33" t="s">
        <v>469</v>
      </c>
      <c r="C395" s="32" t="s">
        <v>782</v>
      </c>
      <c r="D395" s="33">
        <v>1080</v>
      </c>
    </row>
    <row r="396" spans="1:4" ht="16.5" x14ac:dyDescent="0.15">
      <c r="A396" s="33">
        <v>4010810</v>
      </c>
      <c r="B396" s="33" t="s">
        <v>208</v>
      </c>
      <c r="C396" s="32" t="s">
        <v>782</v>
      </c>
      <c r="D396" s="33">
        <v>1081</v>
      </c>
    </row>
    <row r="397" spans="1:4" ht="16.5" x14ac:dyDescent="0.15">
      <c r="A397" s="32">
        <v>4010820</v>
      </c>
      <c r="B397" s="47" t="s">
        <v>461</v>
      </c>
      <c r="C397" s="33" t="s">
        <v>782</v>
      </c>
      <c r="D397" s="33">
        <v>1082</v>
      </c>
    </row>
    <row r="398" spans="1:4" ht="16.5" x14ac:dyDescent="0.15">
      <c r="A398" s="32">
        <v>4010830</v>
      </c>
      <c r="B398" s="32" t="s">
        <v>264</v>
      </c>
      <c r="C398" s="33" t="s">
        <v>782</v>
      </c>
      <c r="D398" s="32">
        <v>1083</v>
      </c>
    </row>
    <row r="399" spans="1:4" ht="16.5" x14ac:dyDescent="0.15">
      <c r="A399" s="33">
        <v>4010840</v>
      </c>
      <c r="B399" s="33" t="s">
        <v>111</v>
      </c>
      <c r="C399" s="32" t="s">
        <v>782</v>
      </c>
      <c r="D399" s="33">
        <v>1084</v>
      </c>
    </row>
    <row r="400" spans="1:4" ht="16.5" x14ac:dyDescent="0.15">
      <c r="A400" s="33">
        <v>4010850</v>
      </c>
      <c r="B400" s="33" t="s">
        <v>234</v>
      </c>
      <c r="C400" s="32" t="s">
        <v>782</v>
      </c>
      <c r="D400" s="33">
        <v>1085</v>
      </c>
    </row>
    <row r="401" spans="1:4" ht="16.5" x14ac:dyDescent="0.15">
      <c r="A401" s="33">
        <v>4010860</v>
      </c>
      <c r="B401" s="33" t="s">
        <v>369</v>
      </c>
      <c r="C401" s="32" t="s">
        <v>782</v>
      </c>
      <c r="D401" s="33">
        <v>1086</v>
      </c>
    </row>
    <row r="402" spans="1:4" ht="16.5" x14ac:dyDescent="0.15">
      <c r="A402" s="33">
        <v>4010870</v>
      </c>
      <c r="B402" s="33" t="s">
        <v>204</v>
      </c>
      <c r="C402" s="32" t="s">
        <v>782</v>
      </c>
      <c r="D402" s="33">
        <v>1087</v>
      </c>
    </row>
    <row r="403" spans="1:4" ht="16.5" x14ac:dyDescent="0.15">
      <c r="A403" s="33">
        <v>4010880</v>
      </c>
      <c r="B403" s="33" t="s">
        <v>17</v>
      </c>
      <c r="C403" s="32" t="s">
        <v>782</v>
      </c>
      <c r="D403" s="33">
        <v>1088</v>
      </c>
    </row>
    <row r="404" spans="1:4" ht="16.5" x14ac:dyDescent="0.15">
      <c r="A404" s="33">
        <v>4010890</v>
      </c>
      <c r="B404" s="33" t="s">
        <v>45</v>
      </c>
      <c r="C404" s="33" t="s">
        <v>782</v>
      </c>
      <c r="D404" s="33">
        <v>1089</v>
      </c>
    </row>
    <row r="405" spans="1:4" ht="16.5" x14ac:dyDescent="0.15">
      <c r="A405" s="32">
        <v>4010900</v>
      </c>
      <c r="B405" s="32" t="s">
        <v>125</v>
      </c>
      <c r="C405" s="32" t="s">
        <v>782</v>
      </c>
      <c r="D405" s="32">
        <v>1090</v>
      </c>
    </row>
    <row r="406" spans="1:4" ht="16.5" x14ac:dyDescent="0.15">
      <c r="A406" s="33">
        <v>4010910</v>
      </c>
      <c r="B406" s="33" t="s">
        <v>130</v>
      </c>
      <c r="C406" s="32" t="s">
        <v>782</v>
      </c>
      <c r="D406" s="33">
        <v>1091</v>
      </c>
    </row>
    <row r="407" spans="1:4" ht="16.5" x14ac:dyDescent="0.15">
      <c r="A407" s="33">
        <v>4010920</v>
      </c>
      <c r="B407" s="33" t="s">
        <v>325</v>
      </c>
      <c r="C407" s="32" t="s">
        <v>782</v>
      </c>
      <c r="D407" s="33">
        <v>1092</v>
      </c>
    </row>
    <row r="408" spans="1:4" ht="16.5" x14ac:dyDescent="0.15">
      <c r="A408" s="33">
        <v>4010930</v>
      </c>
      <c r="B408" s="33" t="s">
        <v>110</v>
      </c>
      <c r="C408" s="33" t="s">
        <v>782</v>
      </c>
      <c r="D408" s="33">
        <v>1093</v>
      </c>
    </row>
    <row r="409" spans="1:4" ht="16.5" x14ac:dyDescent="0.15">
      <c r="A409" s="32">
        <v>4010940</v>
      </c>
      <c r="B409" s="32" t="s">
        <v>120</v>
      </c>
      <c r="C409" s="33" t="s">
        <v>782</v>
      </c>
      <c r="D409" s="32">
        <v>1094</v>
      </c>
    </row>
    <row r="410" spans="1:4" ht="16.5" x14ac:dyDescent="0.15">
      <c r="A410" s="33">
        <v>4010950</v>
      </c>
      <c r="B410" s="33" t="s">
        <v>66</v>
      </c>
      <c r="C410" s="33" t="s">
        <v>782</v>
      </c>
      <c r="D410" s="33">
        <v>1095</v>
      </c>
    </row>
    <row r="411" spans="1:4" ht="16.5" x14ac:dyDescent="0.15">
      <c r="A411" s="33">
        <v>4010960</v>
      </c>
      <c r="B411" s="33" t="s">
        <v>64</v>
      </c>
      <c r="C411" s="33" t="s">
        <v>782</v>
      </c>
      <c r="D411" s="33">
        <v>1096</v>
      </c>
    </row>
    <row r="412" spans="1:4" ht="16.5" x14ac:dyDescent="0.15">
      <c r="A412" s="33">
        <v>4010970</v>
      </c>
      <c r="B412" s="48" t="s">
        <v>180</v>
      </c>
      <c r="C412" s="33" t="s">
        <v>782</v>
      </c>
      <c r="D412" s="33">
        <v>1097</v>
      </c>
    </row>
    <row r="413" spans="1:4" ht="16.5" x14ac:dyDescent="0.15">
      <c r="A413" s="33">
        <v>4010980</v>
      </c>
      <c r="B413" s="33" t="s">
        <v>54</v>
      </c>
      <c r="C413" s="33" t="s">
        <v>782</v>
      </c>
      <c r="D413" s="32">
        <v>1098</v>
      </c>
    </row>
    <row r="414" spans="1:4" ht="16.5" x14ac:dyDescent="0.15">
      <c r="A414" s="33">
        <v>4010990</v>
      </c>
      <c r="B414" s="33" t="s">
        <v>793</v>
      </c>
      <c r="C414" s="33" t="s">
        <v>782</v>
      </c>
      <c r="D414" s="33">
        <v>1099</v>
      </c>
    </row>
    <row r="415" spans="1:4" ht="16.5" x14ac:dyDescent="0.15">
      <c r="A415" s="32">
        <v>4011000</v>
      </c>
      <c r="B415" s="32" t="s">
        <v>186</v>
      </c>
      <c r="C415" s="32" t="s">
        <v>782</v>
      </c>
      <c r="D415" s="32">
        <v>1100</v>
      </c>
    </row>
    <row r="416" spans="1:4" ht="16.5" x14ac:dyDescent="0.15">
      <c r="A416" s="33">
        <v>4011010</v>
      </c>
      <c r="B416" s="33" t="s">
        <v>669</v>
      </c>
      <c r="C416" s="32" t="s">
        <v>782</v>
      </c>
      <c r="D416" s="33">
        <v>1101</v>
      </c>
    </row>
    <row r="417" spans="1:4" ht="16.5" x14ac:dyDescent="0.15">
      <c r="A417" s="33">
        <v>4011020</v>
      </c>
      <c r="B417" s="33" t="s">
        <v>242</v>
      </c>
      <c r="C417" s="32" t="s">
        <v>782</v>
      </c>
      <c r="D417" s="33">
        <v>1102</v>
      </c>
    </row>
    <row r="418" spans="1:4" ht="16.5" x14ac:dyDescent="0.15">
      <c r="A418" s="33">
        <v>4011030</v>
      </c>
      <c r="B418" s="33" t="s">
        <v>48</v>
      </c>
      <c r="C418" s="32" t="s">
        <v>782</v>
      </c>
      <c r="D418" s="33">
        <v>1103</v>
      </c>
    </row>
    <row r="419" spans="1:4" ht="16.5" x14ac:dyDescent="0.15">
      <c r="A419" s="33">
        <v>4011040</v>
      </c>
      <c r="B419" s="33" t="s">
        <v>268</v>
      </c>
      <c r="C419" s="32" t="s">
        <v>782</v>
      </c>
      <c r="D419" s="33">
        <v>1104</v>
      </c>
    </row>
    <row r="420" spans="1:4" ht="16.5" x14ac:dyDescent="0.15">
      <c r="A420" s="33">
        <v>4011050</v>
      </c>
      <c r="B420" s="33" t="s">
        <v>263</v>
      </c>
      <c r="C420" s="33" t="s">
        <v>782</v>
      </c>
      <c r="D420" s="33">
        <v>1105</v>
      </c>
    </row>
    <row r="421" spans="1:4" ht="16.5" x14ac:dyDescent="0.15">
      <c r="A421" s="32">
        <v>4011060</v>
      </c>
      <c r="B421" s="32" t="s">
        <v>375</v>
      </c>
      <c r="C421" s="33" t="s">
        <v>782</v>
      </c>
      <c r="D421" s="32">
        <v>1106</v>
      </c>
    </row>
    <row r="422" spans="1:4" ht="16.5" x14ac:dyDescent="0.15">
      <c r="A422" s="32">
        <v>4011070</v>
      </c>
      <c r="B422" s="33" t="s">
        <v>99</v>
      </c>
      <c r="C422" s="33" t="s">
        <v>782</v>
      </c>
      <c r="D422" s="32">
        <v>1107</v>
      </c>
    </row>
    <row r="423" spans="1:4" ht="16.5" x14ac:dyDescent="0.15">
      <c r="A423" s="32">
        <v>4011080</v>
      </c>
      <c r="B423" s="33" t="s">
        <v>205</v>
      </c>
      <c r="C423" s="33" t="s">
        <v>782</v>
      </c>
      <c r="D423" s="33">
        <v>1108</v>
      </c>
    </row>
    <row r="424" spans="1:4" ht="16.5" x14ac:dyDescent="0.15">
      <c r="A424" s="38">
        <v>4011090</v>
      </c>
      <c r="B424" s="38" t="s">
        <v>18</v>
      </c>
      <c r="C424" s="37" t="s">
        <v>782</v>
      </c>
      <c r="D424" s="38">
        <v>1109</v>
      </c>
    </row>
    <row r="425" spans="1:4" ht="16.5" x14ac:dyDescent="0.15">
      <c r="A425" s="32">
        <v>4011100</v>
      </c>
      <c r="B425" s="32" t="s">
        <v>220</v>
      </c>
      <c r="C425" s="32" t="s">
        <v>782</v>
      </c>
      <c r="D425" s="32">
        <v>1110</v>
      </c>
    </row>
    <row r="426" spans="1:4" ht="16.5" x14ac:dyDescent="0.15">
      <c r="A426" s="33">
        <v>4011110</v>
      </c>
      <c r="B426" s="33" t="s">
        <v>214</v>
      </c>
      <c r="C426" s="32" t="s">
        <v>782</v>
      </c>
      <c r="D426" s="33">
        <v>1111</v>
      </c>
    </row>
    <row r="427" spans="1:4" ht="16.5" x14ac:dyDescent="0.15">
      <c r="A427" s="33">
        <v>4011120</v>
      </c>
      <c r="B427" s="33" t="s">
        <v>267</v>
      </c>
      <c r="C427" s="32" t="s">
        <v>782</v>
      </c>
      <c r="D427" s="33">
        <v>1112</v>
      </c>
    </row>
    <row r="428" spans="1:4" ht="16.5" x14ac:dyDescent="0.15">
      <c r="A428" s="32">
        <v>4011130</v>
      </c>
      <c r="B428" s="39" t="s">
        <v>386</v>
      </c>
      <c r="C428" s="33" t="s">
        <v>782</v>
      </c>
      <c r="D428" s="32">
        <v>1113</v>
      </c>
    </row>
    <row r="429" spans="1:4" ht="16.5" x14ac:dyDescent="0.15">
      <c r="A429" s="33">
        <v>4011140</v>
      </c>
      <c r="B429" s="33" t="s">
        <v>178</v>
      </c>
      <c r="C429" s="32" t="s">
        <v>782</v>
      </c>
      <c r="D429" s="33">
        <v>1114</v>
      </c>
    </row>
    <row r="430" spans="1:4" ht="16.5" x14ac:dyDescent="0.15">
      <c r="A430" s="33">
        <v>4011150</v>
      </c>
      <c r="B430" s="33" t="s">
        <v>160</v>
      </c>
      <c r="C430" s="33" t="s">
        <v>782</v>
      </c>
      <c r="D430" s="33">
        <v>1115</v>
      </c>
    </row>
    <row r="431" spans="1:4" ht="16.5" x14ac:dyDescent="0.15">
      <c r="A431" s="33">
        <v>4011160</v>
      </c>
      <c r="B431" s="33" t="s">
        <v>209</v>
      </c>
      <c r="C431" s="32" t="s">
        <v>782</v>
      </c>
      <c r="D431" s="33">
        <v>1116</v>
      </c>
    </row>
    <row r="432" spans="1:4" ht="16.5" x14ac:dyDescent="0.15">
      <c r="A432" s="33">
        <v>4011170</v>
      </c>
      <c r="B432" s="33" t="s">
        <v>599</v>
      </c>
      <c r="C432" s="33" t="s">
        <v>782</v>
      </c>
      <c r="D432" s="33">
        <v>1117</v>
      </c>
    </row>
    <row r="433" spans="1:4" ht="16.5" x14ac:dyDescent="0.15">
      <c r="A433" s="32">
        <v>4011180</v>
      </c>
      <c r="B433" s="32" t="s">
        <v>80</v>
      </c>
      <c r="C433" s="33" t="s">
        <v>782</v>
      </c>
      <c r="D433" s="32">
        <v>1118</v>
      </c>
    </row>
    <row r="434" spans="1:4" ht="16.5" x14ac:dyDescent="0.15">
      <c r="A434" s="33">
        <v>4011190</v>
      </c>
      <c r="B434" s="33" t="s">
        <v>283</v>
      </c>
      <c r="C434" s="33" t="s">
        <v>782</v>
      </c>
      <c r="D434" s="33">
        <v>1119</v>
      </c>
    </row>
    <row r="435" spans="1:4" ht="16.5" x14ac:dyDescent="0.15">
      <c r="A435" s="33">
        <v>4011200</v>
      </c>
      <c r="B435" s="33" t="s">
        <v>609</v>
      </c>
      <c r="C435" s="32" t="s">
        <v>782</v>
      </c>
      <c r="D435" s="33">
        <v>1120</v>
      </c>
    </row>
    <row r="436" spans="1:4" ht="16.5" x14ac:dyDescent="0.15">
      <c r="A436" s="33">
        <v>4011210</v>
      </c>
      <c r="B436" s="33" t="s">
        <v>256</v>
      </c>
      <c r="C436" s="32" t="s">
        <v>782</v>
      </c>
      <c r="D436" s="33">
        <v>1121</v>
      </c>
    </row>
    <row r="437" spans="1:4" ht="16.5" x14ac:dyDescent="0.15">
      <c r="A437" s="33">
        <v>4011220</v>
      </c>
      <c r="B437" s="33" t="s">
        <v>113</v>
      </c>
      <c r="C437" s="32" t="s">
        <v>782</v>
      </c>
      <c r="D437" s="33">
        <v>1122</v>
      </c>
    </row>
    <row r="438" spans="1:4" ht="16.5" x14ac:dyDescent="0.15">
      <c r="A438" s="33">
        <v>4011230</v>
      </c>
      <c r="B438" s="33" t="s">
        <v>174</v>
      </c>
      <c r="C438" s="32" t="s">
        <v>782</v>
      </c>
      <c r="D438" s="33">
        <v>1123</v>
      </c>
    </row>
    <row r="439" spans="1:4" ht="16.5" x14ac:dyDescent="0.15">
      <c r="A439" s="33">
        <v>4011240</v>
      </c>
      <c r="B439" s="33" t="s">
        <v>51</v>
      </c>
      <c r="C439" s="32" t="s">
        <v>782</v>
      </c>
      <c r="D439" s="33">
        <v>1124</v>
      </c>
    </row>
    <row r="440" spans="1:4" ht="16.5" x14ac:dyDescent="0.15">
      <c r="A440" s="33">
        <v>4011260</v>
      </c>
      <c r="B440" s="33" t="s">
        <v>286</v>
      </c>
      <c r="C440" s="33" t="s">
        <v>782</v>
      </c>
      <c r="D440" s="33">
        <v>1126</v>
      </c>
    </row>
    <row r="441" spans="1:4" ht="16.5" x14ac:dyDescent="0.15">
      <c r="A441" s="33">
        <v>4011300</v>
      </c>
      <c r="B441" s="33" t="s">
        <v>372</v>
      </c>
      <c r="C441" s="32" t="s">
        <v>782</v>
      </c>
      <c r="D441" s="33">
        <v>1130</v>
      </c>
    </row>
    <row r="442" spans="1:4" ht="16.5" x14ac:dyDescent="0.15">
      <c r="A442" s="32">
        <v>4011330</v>
      </c>
      <c r="B442" s="32" t="s">
        <v>122</v>
      </c>
      <c r="C442" s="33" t="s">
        <v>782</v>
      </c>
      <c r="D442" s="32">
        <v>1133</v>
      </c>
    </row>
    <row r="443" spans="1:4" ht="16.5" x14ac:dyDescent="0.15">
      <c r="A443" s="32">
        <v>4011340</v>
      </c>
      <c r="B443" s="32" t="s">
        <v>107</v>
      </c>
      <c r="C443" s="33" t="s">
        <v>782</v>
      </c>
      <c r="D443" s="32">
        <v>1134</v>
      </c>
    </row>
    <row r="444" spans="1:4" ht="16.5" x14ac:dyDescent="0.15">
      <c r="A444" s="32">
        <v>4011350</v>
      </c>
      <c r="B444" s="32" t="s">
        <v>250</v>
      </c>
      <c r="C444" s="33" t="s">
        <v>782</v>
      </c>
      <c r="D444" s="32">
        <v>1135</v>
      </c>
    </row>
    <row r="445" spans="1:4" ht="16.5" x14ac:dyDescent="0.15">
      <c r="A445" s="32">
        <v>4011360</v>
      </c>
      <c r="B445" s="33" t="s">
        <v>89</v>
      </c>
      <c r="C445" s="33" t="s">
        <v>782</v>
      </c>
      <c r="D445" s="33">
        <v>1136</v>
      </c>
    </row>
    <row r="446" spans="1:4" ht="16.5" x14ac:dyDescent="0.15">
      <c r="A446" s="32">
        <v>4011370</v>
      </c>
      <c r="B446" s="32" t="s">
        <v>243</v>
      </c>
      <c r="C446" s="33" t="s">
        <v>782</v>
      </c>
      <c r="D446" s="32">
        <v>1137</v>
      </c>
    </row>
    <row r="447" spans="1:4" ht="16.5" x14ac:dyDescent="0.15">
      <c r="A447" s="33">
        <v>4011400</v>
      </c>
      <c r="B447" s="33" t="s">
        <v>198</v>
      </c>
      <c r="C447" s="32" t="s">
        <v>782</v>
      </c>
      <c r="D447" s="33">
        <v>1140</v>
      </c>
    </row>
    <row r="448" spans="1:4" ht="16.5" x14ac:dyDescent="0.15">
      <c r="A448" s="33">
        <v>4011410</v>
      </c>
      <c r="B448" s="33" t="s">
        <v>73</v>
      </c>
      <c r="C448" s="32" t="s">
        <v>782</v>
      </c>
      <c r="D448" s="33">
        <v>1141</v>
      </c>
    </row>
    <row r="449" spans="1:4" ht="16.5" x14ac:dyDescent="0.15">
      <c r="A449" s="33">
        <v>4011420</v>
      </c>
      <c r="B449" s="33" t="s">
        <v>157</v>
      </c>
      <c r="C449" s="33" t="s">
        <v>782</v>
      </c>
      <c r="D449" s="33">
        <v>1142</v>
      </c>
    </row>
    <row r="450" spans="1:4" ht="16.5" x14ac:dyDescent="0.15">
      <c r="A450" s="32">
        <v>4011430</v>
      </c>
      <c r="B450" s="32" t="s">
        <v>191</v>
      </c>
      <c r="C450" s="33" t="s">
        <v>782</v>
      </c>
      <c r="D450" s="32">
        <v>1143</v>
      </c>
    </row>
    <row r="451" spans="1:4" ht="16.5" x14ac:dyDescent="0.15">
      <c r="A451" s="32">
        <v>4011440</v>
      </c>
      <c r="B451" s="32" t="s">
        <v>199</v>
      </c>
      <c r="C451" s="33" t="s">
        <v>782</v>
      </c>
      <c r="D451" s="32">
        <v>1144</v>
      </c>
    </row>
    <row r="452" spans="1:4" ht="16.5" x14ac:dyDescent="0.15">
      <c r="A452" s="33">
        <v>4011500</v>
      </c>
      <c r="B452" s="33" t="s">
        <v>170</v>
      </c>
      <c r="C452" s="32" t="s">
        <v>782</v>
      </c>
      <c r="D452" s="33">
        <v>1150</v>
      </c>
    </row>
    <row r="453" spans="1:4" ht="16.5" x14ac:dyDescent="0.15">
      <c r="A453" s="33">
        <v>4011510</v>
      </c>
      <c r="B453" s="33" t="s">
        <v>439</v>
      </c>
      <c r="C453" s="32" t="s">
        <v>782</v>
      </c>
      <c r="D453" s="33">
        <v>1151</v>
      </c>
    </row>
    <row r="454" spans="1:4" ht="16.5" x14ac:dyDescent="0.15">
      <c r="A454" s="33">
        <v>4011520</v>
      </c>
      <c r="B454" s="33" t="s">
        <v>357</v>
      </c>
      <c r="C454" s="32" t="s">
        <v>782</v>
      </c>
      <c r="D454" s="33">
        <v>1152</v>
      </c>
    </row>
    <row r="455" spans="1:4" ht="16.5" x14ac:dyDescent="0.15">
      <c r="A455" s="33">
        <v>4011530</v>
      </c>
      <c r="B455" s="33" t="s">
        <v>207</v>
      </c>
      <c r="C455" s="32" t="s">
        <v>782</v>
      </c>
      <c r="D455" s="33">
        <v>1153</v>
      </c>
    </row>
    <row r="456" spans="1:4" ht="16.5" x14ac:dyDescent="0.15">
      <c r="A456" s="33">
        <v>4011540</v>
      </c>
      <c r="B456" s="33" t="s">
        <v>411</v>
      </c>
      <c r="C456" s="32" t="s">
        <v>782</v>
      </c>
      <c r="D456" s="33">
        <v>1154</v>
      </c>
    </row>
    <row r="457" spans="1:4" ht="16.5" x14ac:dyDescent="0.15">
      <c r="A457" s="33">
        <v>4011550</v>
      </c>
      <c r="B457" s="33" t="s">
        <v>350</v>
      </c>
      <c r="C457" s="32" t="s">
        <v>782</v>
      </c>
      <c r="D457" s="33">
        <v>1155</v>
      </c>
    </row>
    <row r="458" spans="1:4" ht="16.5" x14ac:dyDescent="0.15">
      <c r="A458" s="32">
        <v>4011560</v>
      </c>
      <c r="B458" s="33" t="s">
        <v>133</v>
      </c>
      <c r="C458" s="33" t="s">
        <v>782</v>
      </c>
      <c r="D458" s="33">
        <v>1156</v>
      </c>
    </row>
    <row r="459" spans="1:4" ht="16.5" x14ac:dyDescent="0.15">
      <c r="A459" s="32">
        <v>4011570</v>
      </c>
      <c r="B459" s="33" t="s">
        <v>257</v>
      </c>
      <c r="C459" s="33" t="s">
        <v>782</v>
      </c>
      <c r="D459" s="33">
        <v>1157</v>
      </c>
    </row>
    <row r="460" spans="1:4" ht="16.5" x14ac:dyDescent="0.15">
      <c r="A460" s="32">
        <v>4011580</v>
      </c>
      <c r="B460" s="33" t="s">
        <v>260</v>
      </c>
      <c r="C460" s="33" t="s">
        <v>782</v>
      </c>
      <c r="D460" s="33">
        <v>1158</v>
      </c>
    </row>
    <row r="461" spans="1:4" ht="16.5" x14ac:dyDescent="0.15">
      <c r="A461" s="32">
        <v>4011590</v>
      </c>
      <c r="B461" s="33" t="s">
        <v>123</v>
      </c>
      <c r="C461" s="33" t="s">
        <v>782</v>
      </c>
      <c r="D461" s="33">
        <v>1159</v>
      </c>
    </row>
    <row r="462" spans="1:4" ht="16.5" x14ac:dyDescent="0.15">
      <c r="A462" s="33">
        <v>4011600</v>
      </c>
      <c r="B462" s="33" t="s">
        <v>140</v>
      </c>
      <c r="C462" s="32" t="s">
        <v>782</v>
      </c>
      <c r="D462" s="33">
        <v>1160</v>
      </c>
    </row>
    <row r="463" spans="1:4" ht="16.5" x14ac:dyDescent="0.15">
      <c r="A463" s="32">
        <v>4011610</v>
      </c>
      <c r="B463" s="32" t="s">
        <v>316</v>
      </c>
      <c r="C463" s="33" t="s">
        <v>782</v>
      </c>
      <c r="D463" s="33">
        <v>1161</v>
      </c>
    </row>
    <row r="464" spans="1:4" ht="16.5" x14ac:dyDescent="0.15">
      <c r="A464" s="32">
        <v>4011620</v>
      </c>
      <c r="B464" s="33" t="s">
        <v>338</v>
      </c>
      <c r="C464" s="33" t="s">
        <v>782</v>
      </c>
      <c r="D464" s="32">
        <v>1162</v>
      </c>
    </row>
    <row r="465" spans="1:4" ht="16.5" x14ac:dyDescent="0.15">
      <c r="A465" s="32">
        <v>4011630</v>
      </c>
      <c r="B465" s="32" t="s">
        <v>75</v>
      </c>
      <c r="C465" s="33" t="s">
        <v>782</v>
      </c>
      <c r="D465" s="32">
        <v>1163</v>
      </c>
    </row>
    <row r="466" spans="1:4" ht="16.5" x14ac:dyDescent="0.15">
      <c r="A466" s="32">
        <v>4011710</v>
      </c>
      <c r="B466" s="33" t="s">
        <v>512</v>
      </c>
      <c r="C466" s="33" t="s">
        <v>782</v>
      </c>
      <c r="D466" s="33">
        <v>1171</v>
      </c>
    </row>
    <row r="467" spans="1:4" ht="16.5" x14ac:dyDescent="0.15">
      <c r="A467" s="32">
        <v>4011720</v>
      </c>
      <c r="B467" s="47" t="s">
        <v>454</v>
      </c>
      <c r="C467" s="33" t="s">
        <v>782</v>
      </c>
      <c r="D467" s="33">
        <v>1172</v>
      </c>
    </row>
    <row r="468" spans="1:4" ht="16.5" x14ac:dyDescent="0.15">
      <c r="A468" s="33">
        <v>4011800</v>
      </c>
      <c r="B468" s="33" t="s">
        <v>235</v>
      </c>
      <c r="C468" s="32" t="s">
        <v>782</v>
      </c>
      <c r="D468" s="33">
        <v>1180</v>
      </c>
    </row>
    <row r="469" spans="1:4" ht="16.5" x14ac:dyDescent="0.15">
      <c r="A469" s="32">
        <v>4011810</v>
      </c>
      <c r="B469" s="32" t="s">
        <v>317</v>
      </c>
      <c r="C469" s="33" t="s">
        <v>782</v>
      </c>
      <c r="D469" s="32">
        <v>1181</v>
      </c>
    </row>
    <row r="470" spans="1:4" ht="16.5" x14ac:dyDescent="0.15">
      <c r="A470" s="33">
        <v>4011820</v>
      </c>
      <c r="B470" s="33" t="s">
        <v>327</v>
      </c>
      <c r="C470" s="32" t="s">
        <v>782</v>
      </c>
      <c r="D470" s="33">
        <v>1182</v>
      </c>
    </row>
    <row r="471" spans="1:4" ht="16.5" x14ac:dyDescent="0.15">
      <c r="A471" s="33">
        <v>4011830</v>
      </c>
      <c r="B471" s="33" t="s">
        <v>185</v>
      </c>
      <c r="C471" s="33" t="s">
        <v>782</v>
      </c>
      <c r="D471" s="33">
        <v>1183</v>
      </c>
    </row>
    <row r="472" spans="1:4" ht="16.5" x14ac:dyDescent="0.15">
      <c r="A472" s="33">
        <v>4011840</v>
      </c>
      <c r="B472" s="33" t="s">
        <v>409</v>
      </c>
      <c r="C472" s="33" t="s">
        <v>782</v>
      </c>
      <c r="D472" s="33">
        <v>1184</v>
      </c>
    </row>
    <row r="473" spans="1:4" ht="16.5" x14ac:dyDescent="0.15">
      <c r="A473" s="32">
        <v>4011850</v>
      </c>
      <c r="B473" s="32" t="s">
        <v>87</v>
      </c>
      <c r="C473" s="33" t="s">
        <v>782</v>
      </c>
      <c r="D473" s="32">
        <v>1185</v>
      </c>
    </row>
    <row r="474" spans="1:4" ht="16.5" x14ac:dyDescent="0.15">
      <c r="A474" s="37">
        <v>4011860</v>
      </c>
      <c r="B474" s="37" t="s">
        <v>197</v>
      </c>
      <c r="C474" s="37" t="s">
        <v>782</v>
      </c>
      <c r="D474" s="38">
        <v>1186</v>
      </c>
    </row>
    <row r="475" spans="1:4" ht="16.5" x14ac:dyDescent="0.15">
      <c r="A475" s="33">
        <v>4011870</v>
      </c>
      <c r="B475" s="33" t="s">
        <v>210</v>
      </c>
      <c r="C475" s="33" t="s">
        <v>782</v>
      </c>
      <c r="D475" s="32">
        <v>1187</v>
      </c>
    </row>
    <row r="476" spans="1:4" ht="16.5" x14ac:dyDescent="0.15">
      <c r="A476" s="33">
        <v>4011880</v>
      </c>
      <c r="B476" s="33" t="s">
        <v>141</v>
      </c>
      <c r="C476" s="33" t="s">
        <v>782</v>
      </c>
      <c r="D476" s="33">
        <v>1188</v>
      </c>
    </row>
    <row r="477" spans="1:4" ht="16.5" x14ac:dyDescent="0.15">
      <c r="A477" s="33">
        <v>4011890</v>
      </c>
      <c r="B477" s="33" t="s">
        <v>294</v>
      </c>
      <c r="C477" s="33" t="s">
        <v>782</v>
      </c>
      <c r="D477" s="33">
        <v>1189</v>
      </c>
    </row>
    <row r="478" spans="1:4" ht="16.5" x14ac:dyDescent="0.15">
      <c r="A478" s="33">
        <v>4011900</v>
      </c>
      <c r="B478" s="33" t="s">
        <v>259</v>
      </c>
      <c r="C478" s="32" t="s">
        <v>782</v>
      </c>
      <c r="D478" s="33">
        <v>1190</v>
      </c>
    </row>
    <row r="479" spans="1:4" ht="16.5" x14ac:dyDescent="0.15">
      <c r="A479" s="32">
        <v>4011910</v>
      </c>
      <c r="B479" s="32" t="s">
        <v>81</v>
      </c>
      <c r="C479" s="33" t="s">
        <v>782</v>
      </c>
      <c r="D479" s="32">
        <v>1191</v>
      </c>
    </row>
    <row r="480" spans="1:4" ht="16.5" x14ac:dyDescent="0.15">
      <c r="A480" s="32">
        <v>4011920</v>
      </c>
      <c r="B480" s="33" t="s">
        <v>262</v>
      </c>
      <c r="C480" s="33" t="s">
        <v>782</v>
      </c>
      <c r="D480" s="33">
        <v>1192</v>
      </c>
    </row>
    <row r="481" spans="1:4" ht="16.5" x14ac:dyDescent="0.15">
      <c r="A481" s="32">
        <v>4011930</v>
      </c>
      <c r="B481" s="33" t="s">
        <v>794</v>
      </c>
      <c r="C481" s="33" t="s">
        <v>782</v>
      </c>
      <c r="D481" s="33">
        <v>1193</v>
      </c>
    </row>
    <row r="482" spans="1:4" ht="16.5" x14ac:dyDescent="0.15">
      <c r="A482" s="32">
        <v>4011940</v>
      </c>
      <c r="B482" s="32" t="s">
        <v>465</v>
      </c>
      <c r="C482" s="33" t="s">
        <v>782</v>
      </c>
      <c r="D482" s="32">
        <v>1194</v>
      </c>
    </row>
    <row r="483" spans="1:4" ht="16.5" x14ac:dyDescent="0.15">
      <c r="A483" s="33">
        <v>4012050</v>
      </c>
      <c r="B483" s="33" t="s">
        <v>562</v>
      </c>
      <c r="C483" s="32" t="s">
        <v>782</v>
      </c>
      <c r="D483" s="33">
        <v>1205</v>
      </c>
    </row>
    <row r="484" spans="1:4" ht="16.5" x14ac:dyDescent="0.15">
      <c r="A484" s="33">
        <v>4012060</v>
      </c>
      <c r="B484" s="33" t="s">
        <v>505</v>
      </c>
      <c r="C484" s="32" t="s">
        <v>782</v>
      </c>
      <c r="D484" s="33">
        <v>1206</v>
      </c>
    </row>
    <row r="485" spans="1:4" ht="16.5" x14ac:dyDescent="0.15">
      <c r="A485" s="32">
        <v>4012070</v>
      </c>
      <c r="B485" s="32" t="s">
        <v>100</v>
      </c>
      <c r="C485" s="33" t="s">
        <v>782</v>
      </c>
      <c r="D485" s="32">
        <v>1207</v>
      </c>
    </row>
    <row r="486" spans="1:4" ht="16.5" x14ac:dyDescent="0.15">
      <c r="A486" s="32">
        <v>4012080</v>
      </c>
      <c r="B486" s="33" t="s">
        <v>61</v>
      </c>
      <c r="C486" s="33" t="s">
        <v>782</v>
      </c>
      <c r="D486" s="33">
        <v>1208</v>
      </c>
    </row>
    <row r="487" spans="1:4" ht="16.5" x14ac:dyDescent="0.15">
      <c r="A487" s="33">
        <v>4012090</v>
      </c>
      <c r="B487" s="33" t="s">
        <v>132</v>
      </c>
      <c r="C487" s="33" t="s">
        <v>782</v>
      </c>
      <c r="D487" s="33">
        <v>1209</v>
      </c>
    </row>
    <row r="488" spans="1:4" ht="16.5" x14ac:dyDescent="0.15">
      <c r="A488" s="33">
        <v>4012100</v>
      </c>
      <c r="B488" s="33" t="s">
        <v>313</v>
      </c>
      <c r="C488" s="33" t="s">
        <v>782</v>
      </c>
      <c r="D488" s="33">
        <v>1210</v>
      </c>
    </row>
    <row r="489" spans="1:4" ht="16.5" x14ac:dyDescent="0.15">
      <c r="A489" s="33">
        <v>4012210</v>
      </c>
      <c r="B489" s="33" t="s">
        <v>159</v>
      </c>
      <c r="C489" s="32" t="s">
        <v>782</v>
      </c>
      <c r="D489" s="33">
        <v>1221</v>
      </c>
    </row>
    <row r="490" spans="1:4" ht="16.5" x14ac:dyDescent="0.15">
      <c r="A490" s="33">
        <v>4012220</v>
      </c>
      <c r="B490" s="33" t="s">
        <v>236</v>
      </c>
      <c r="C490" s="32" t="s">
        <v>782</v>
      </c>
      <c r="D490" s="33">
        <v>1222</v>
      </c>
    </row>
    <row r="491" spans="1:4" ht="16.5" x14ac:dyDescent="0.15">
      <c r="A491" s="33">
        <v>4012230</v>
      </c>
      <c r="B491" s="33" t="s">
        <v>190</v>
      </c>
      <c r="C491" s="32" t="s">
        <v>782</v>
      </c>
      <c r="D491" s="33">
        <v>1223</v>
      </c>
    </row>
    <row r="492" spans="1:4" ht="16.5" x14ac:dyDescent="0.15">
      <c r="A492" s="32">
        <v>4012240</v>
      </c>
      <c r="B492" s="32" t="s">
        <v>336</v>
      </c>
      <c r="C492" s="33" t="s">
        <v>782</v>
      </c>
      <c r="D492" s="32">
        <v>1224</v>
      </c>
    </row>
    <row r="493" spans="1:4" ht="16.5" x14ac:dyDescent="0.15">
      <c r="A493" s="32">
        <v>4012250</v>
      </c>
      <c r="B493" s="33" t="s">
        <v>95</v>
      </c>
      <c r="C493" s="33" t="s">
        <v>782</v>
      </c>
      <c r="D493" s="32">
        <v>1225</v>
      </c>
    </row>
    <row r="494" spans="1:4" ht="16.5" x14ac:dyDescent="0.15">
      <c r="A494" s="32">
        <v>4012260</v>
      </c>
      <c r="B494" s="32" t="s">
        <v>333</v>
      </c>
      <c r="C494" s="33" t="s">
        <v>782</v>
      </c>
      <c r="D494" s="32">
        <v>1226</v>
      </c>
    </row>
    <row r="495" spans="1:4" ht="16.5" x14ac:dyDescent="0.15">
      <c r="A495" s="33">
        <v>4012270</v>
      </c>
      <c r="B495" s="33" t="s">
        <v>44</v>
      </c>
      <c r="C495" s="33" t="s">
        <v>782</v>
      </c>
      <c r="D495" s="33">
        <v>1227</v>
      </c>
    </row>
    <row r="496" spans="1:4" ht="16.5" x14ac:dyDescent="0.15">
      <c r="A496" s="33">
        <v>4012280</v>
      </c>
      <c r="B496" s="33" t="s">
        <v>293</v>
      </c>
      <c r="C496" s="33" t="s">
        <v>782</v>
      </c>
      <c r="D496" s="32">
        <v>1228</v>
      </c>
    </row>
    <row r="497" spans="1:4" ht="16.5" x14ac:dyDescent="0.15">
      <c r="A497" s="37">
        <v>4012310</v>
      </c>
      <c r="B497" s="37" t="s">
        <v>224</v>
      </c>
      <c r="C497" s="38" t="s">
        <v>782</v>
      </c>
      <c r="D497" s="37">
        <v>1231</v>
      </c>
    </row>
    <row r="498" spans="1:4" ht="16.5" x14ac:dyDescent="0.15">
      <c r="A498" s="37">
        <v>4012320</v>
      </c>
      <c r="B498" s="37" t="s">
        <v>26</v>
      </c>
      <c r="C498" s="37" t="s">
        <v>782</v>
      </c>
      <c r="D498" s="37">
        <v>1232</v>
      </c>
    </row>
    <row r="499" spans="1:4" ht="16.5" x14ac:dyDescent="0.15">
      <c r="A499" s="38">
        <v>4012330</v>
      </c>
      <c r="B499" s="38" t="s">
        <v>212</v>
      </c>
      <c r="C499" s="37" t="s">
        <v>782</v>
      </c>
      <c r="D499" s="38">
        <v>1233</v>
      </c>
    </row>
    <row r="500" spans="1:4" ht="16.5" x14ac:dyDescent="0.15">
      <c r="A500" s="32">
        <v>4012340</v>
      </c>
      <c r="B500" s="33" t="s">
        <v>53</v>
      </c>
      <c r="C500" s="33" t="s">
        <v>782</v>
      </c>
      <c r="D500" s="32">
        <v>1234</v>
      </c>
    </row>
    <row r="501" spans="1:4" ht="16.5" x14ac:dyDescent="0.15">
      <c r="A501" s="38">
        <v>4012350</v>
      </c>
      <c r="B501" s="37" t="s">
        <v>21</v>
      </c>
      <c r="C501" s="37" t="s">
        <v>782</v>
      </c>
      <c r="D501" s="37">
        <v>1235</v>
      </c>
    </row>
    <row r="502" spans="1:4" ht="16.5" x14ac:dyDescent="0.15">
      <c r="A502" s="38">
        <v>4012360</v>
      </c>
      <c r="B502" s="38" t="s">
        <v>97</v>
      </c>
      <c r="C502" s="37" t="s">
        <v>782</v>
      </c>
      <c r="D502" s="38">
        <v>1236</v>
      </c>
    </row>
    <row r="503" spans="1:4" ht="16.5" x14ac:dyDescent="0.15">
      <c r="A503" s="37">
        <v>4012370</v>
      </c>
      <c r="B503" s="37" t="s">
        <v>43</v>
      </c>
      <c r="C503" s="37" t="s">
        <v>782</v>
      </c>
      <c r="D503" s="38">
        <v>1237</v>
      </c>
    </row>
    <row r="504" spans="1:4" ht="16.5" x14ac:dyDescent="0.15">
      <c r="A504" s="49">
        <v>4012380</v>
      </c>
      <c r="B504" s="49" t="s">
        <v>67</v>
      </c>
      <c r="C504" s="49" t="s">
        <v>782</v>
      </c>
      <c r="D504" s="50">
        <v>1238</v>
      </c>
    </row>
    <row r="505" spans="1:4" ht="16.5" x14ac:dyDescent="0.15">
      <c r="A505" s="33">
        <v>4012410</v>
      </c>
      <c r="B505" s="33" t="s">
        <v>39</v>
      </c>
      <c r="C505" s="32" t="s">
        <v>782</v>
      </c>
      <c r="D505" s="33">
        <v>1241</v>
      </c>
    </row>
    <row r="506" spans="1:4" ht="16.5" x14ac:dyDescent="0.15">
      <c r="A506" s="32">
        <v>4012420</v>
      </c>
      <c r="B506" s="32" t="s">
        <v>96</v>
      </c>
      <c r="C506" s="33" t="s">
        <v>782</v>
      </c>
      <c r="D506" s="32">
        <v>1242</v>
      </c>
    </row>
    <row r="507" spans="1:4" ht="16.5" x14ac:dyDescent="0.15">
      <c r="A507" s="32">
        <v>4012430</v>
      </c>
      <c r="B507" s="32" t="s">
        <v>271</v>
      </c>
      <c r="C507" s="33" t="s">
        <v>782</v>
      </c>
      <c r="D507" s="32">
        <v>1243</v>
      </c>
    </row>
    <row r="508" spans="1:4" ht="16.5" x14ac:dyDescent="0.15">
      <c r="A508" s="32">
        <v>4012440</v>
      </c>
      <c r="B508" s="33" t="s">
        <v>247</v>
      </c>
      <c r="C508" s="33" t="s">
        <v>782</v>
      </c>
      <c r="D508" s="32">
        <v>1244</v>
      </c>
    </row>
    <row r="509" spans="1:4" ht="16.5" x14ac:dyDescent="0.15">
      <c r="A509" s="38">
        <v>4012450</v>
      </c>
      <c r="B509" s="38" t="s">
        <v>28</v>
      </c>
      <c r="C509" s="37" t="s">
        <v>782</v>
      </c>
      <c r="D509" s="38">
        <v>1245</v>
      </c>
    </row>
    <row r="510" spans="1:4" ht="16.5" x14ac:dyDescent="0.15">
      <c r="A510" s="32">
        <v>4012460</v>
      </c>
      <c r="B510" s="33" t="s">
        <v>167</v>
      </c>
      <c r="C510" s="33" t="s">
        <v>782</v>
      </c>
      <c r="D510" s="33">
        <v>1246</v>
      </c>
    </row>
    <row r="511" spans="1:4" ht="16.5" x14ac:dyDescent="0.15">
      <c r="A511" s="33">
        <v>4012470</v>
      </c>
      <c r="B511" s="33" t="s">
        <v>124</v>
      </c>
      <c r="C511" s="33" t="s">
        <v>782</v>
      </c>
      <c r="D511" s="33">
        <v>1247</v>
      </c>
    </row>
    <row r="512" spans="1:4" ht="16.5" x14ac:dyDescent="0.15">
      <c r="A512" s="33">
        <v>4012480</v>
      </c>
      <c r="B512" s="33" t="s">
        <v>126</v>
      </c>
      <c r="C512" s="33" t="s">
        <v>782</v>
      </c>
      <c r="D512" s="33">
        <v>1248</v>
      </c>
    </row>
    <row r="513" spans="1:4" ht="16.5" x14ac:dyDescent="0.15">
      <c r="A513" s="33">
        <v>4012490</v>
      </c>
      <c r="B513" s="33" t="s">
        <v>295</v>
      </c>
      <c r="C513" s="33" t="s">
        <v>782</v>
      </c>
      <c r="D513" s="32">
        <v>1249</v>
      </c>
    </row>
    <row r="514" spans="1:4" ht="16.5" x14ac:dyDescent="0.15">
      <c r="A514" s="33">
        <v>4012500</v>
      </c>
      <c r="B514" s="33" t="s">
        <v>103</v>
      </c>
      <c r="C514" s="33" t="s">
        <v>782</v>
      </c>
      <c r="D514" s="32">
        <v>1250</v>
      </c>
    </row>
    <row r="515" spans="1:4" ht="16.5" x14ac:dyDescent="0.15">
      <c r="A515" s="33">
        <v>4012510</v>
      </c>
      <c r="B515" s="33" t="s">
        <v>425</v>
      </c>
      <c r="C515" s="32" t="s">
        <v>782</v>
      </c>
      <c r="D515" s="33">
        <v>1251</v>
      </c>
    </row>
    <row r="516" spans="1:4" ht="16.5" x14ac:dyDescent="0.15">
      <c r="A516" s="33">
        <v>4012610</v>
      </c>
      <c r="B516" s="33" t="s">
        <v>314</v>
      </c>
      <c r="C516" s="32" t="s">
        <v>782</v>
      </c>
      <c r="D516" s="33">
        <v>1261</v>
      </c>
    </row>
    <row r="517" spans="1:4" ht="16.5" x14ac:dyDescent="0.15">
      <c r="A517" s="33">
        <v>4012620</v>
      </c>
      <c r="B517" s="33" t="s">
        <v>164</v>
      </c>
      <c r="C517" s="33" t="s">
        <v>782</v>
      </c>
      <c r="D517" s="33">
        <v>1262</v>
      </c>
    </row>
    <row r="518" spans="1:4" ht="16.5" x14ac:dyDescent="0.15">
      <c r="A518" s="32">
        <v>4012630</v>
      </c>
      <c r="B518" s="32" t="s">
        <v>708</v>
      </c>
      <c r="C518" s="33" t="s">
        <v>782</v>
      </c>
      <c r="D518" s="32">
        <v>1263</v>
      </c>
    </row>
    <row r="519" spans="1:4" ht="16.5" x14ac:dyDescent="0.15">
      <c r="A519" s="32">
        <v>4012640</v>
      </c>
      <c r="B519" s="32" t="s">
        <v>172</v>
      </c>
      <c r="C519" s="33" t="s">
        <v>782</v>
      </c>
      <c r="D519" s="32">
        <v>1264</v>
      </c>
    </row>
    <row r="520" spans="1:4" ht="16.5" x14ac:dyDescent="0.15">
      <c r="A520" s="33">
        <v>4013010</v>
      </c>
      <c r="B520" s="33" t="s">
        <v>223</v>
      </c>
      <c r="C520" s="32" t="s">
        <v>782</v>
      </c>
      <c r="D520" s="33">
        <v>1301</v>
      </c>
    </row>
    <row r="521" spans="1:4" ht="16.5" x14ac:dyDescent="0.15">
      <c r="A521" s="32">
        <v>4013300</v>
      </c>
      <c r="B521" s="33" t="s">
        <v>9</v>
      </c>
      <c r="C521" s="33" t="s">
        <v>782</v>
      </c>
      <c r="D521" s="32">
        <v>1330</v>
      </c>
    </row>
    <row r="522" spans="1:4" ht="16.5" x14ac:dyDescent="0.15">
      <c r="A522" s="32">
        <v>4013310</v>
      </c>
      <c r="B522" s="33" t="s">
        <v>356</v>
      </c>
      <c r="C522" s="33" t="s">
        <v>782</v>
      </c>
      <c r="D522" s="33">
        <v>1331</v>
      </c>
    </row>
    <row r="523" spans="1:4" ht="16.5" x14ac:dyDescent="0.15">
      <c r="A523" s="32">
        <v>4013320</v>
      </c>
      <c r="B523" s="33" t="s">
        <v>177</v>
      </c>
      <c r="C523" s="33" t="s">
        <v>782</v>
      </c>
      <c r="D523" s="33">
        <v>1332</v>
      </c>
    </row>
    <row r="524" spans="1:4" ht="16.5" x14ac:dyDescent="0.15">
      <c r="A524" s="32">
        <v>4013330</v>
      </c>
      <c r="B524" s="33" t="s">
        <v>218</v>
      </c>
      <c r="C524" s="33" t="s">
        <v>782</v>
      </c>
      <c r="D524" s="33">
        <v>1333</v>
      </c>
    </row>
    <row r="525" spans="1:4" ht="16.5" x14ac:dyDescent="0.15">
      <c r="A525" s="46">
        <v>4013340</v>
      </c>
      <c r="B525" s="33" t="s">
        <v>79</v>
      </c>
      <c r="C525" s="33" t="s">
        <v>782</v>
      </c>
      <c r="D525" s="32">
        <v>1334</v>
      </c>
    </row>
    <row r="526" spans="1:4" ht="16.5" x14ac:dyDescent="0.15">
      <c r="A526" s="32">
        <v>4013350</v>
      </c>
      <c r="B526" s="33" t="s">
        <v>225</v>
      </c>
      <c r="C526" s="33" t="s">
        <v>782</v>
      </c>
      <c r="D526" s="33">
        <v>1335</v>
      </c>
    </row>
    <row r="527" spans="1:4" ht="16.5" x14ac:dyDescent="0.15">
      <c r="A527" s="32">
        <v>4013360</v>
      </c>
      <c r="B527" s="32" t="s">
        <v>62</v>
      </c>
      <c r="C527" s="33" t="s">
        <v>782</v>
      </c>
      <c r="D527" s="33">
        <v>1336</v>
      </c>
    </row>
    <row r="528" spans="1:4" ht="16.5" x14ac:dyDescent="0.15">
      <c r="A528" s="33">
        <v>4013370</v>
      </c>
      <c r="B528" s="33" t="s">
        <v>156</v>
      </c>
      <c r="C528" s="33" t="s">
        <v>782</v>
      </c>
      <c r="D528" s="32">
        <v>1337</v>
      </c>
    </row>
    <row r="529" spans="1:4" ht="16.5" x14ac:dyDescent="0.15">
      <c r="A529" s="33">
        <v>4013380</v>
      </c>
      <c r="B529" s="33" t="s">
        <v>83</v>
      </c>
      <c r="C529" s="33" t="s">
        <v>782</v>
      </c>
      <c r="D529" s="33">
        <v>1338</v>
      </c>
    </row>
    <row r="530" spans="1:4" ht="16.5" x14ac:dyDescent="0.15">
      <c r="A530" s="33">
        <v>4013390</v>
      </c>
      <c r="B530" s="33" t="s">
        <v>163</v>
      </c>
      <c r="C530" s="33" t="s">
        <v>782</v>
      </c>
      <c r="D530" s="33">
        <v>1339</v>
      </c>
    </row>
    <row r="531" spans="1:4" ht="16.5" x14ac:dyDescent="0.15">
      <c r="A531" s="33">
        <v>4013400</v>
      </c>
      <c r="B531" s="33" t="s">
        <v>795</v>
      </c>
      <c r="C531" s="33" t="s">
        <v>782</v>
      </c>
      <c r="D531" s="33">
        <v>1340</v>
      </c>
    </row>
    <row r="532" spans="1:4" ht="16.5" x14ac:dyDescent="0.15">
      <c r="A532" s="32">
        <v>4013500</v>
      </c>
      <c r="B532" s="32" t="s">
        <v>560</v>
      </c>
      <c r="C532" s="33" t="s">
        <v>782</v>
      </c>
      <c r="D532" s="32">
        <v>1350</v>
      </c>
    </row>
    <row r="533" spans="1:4" ht="16.5" x14ac:dyDescent="0.15">
      <c r="A533" s="32">
        <v>4013510</v>
      </c>
      <c r="B533" s="33" t="s">
        <v>750</v>
      </c>
      <c r="C533" s="33" t="s">
        <v>782</v>
      </c>
      <c r="D533" s="33">
        <v>1351</v>
      </c>
    </row>
    <row r="534" spans="1:4" ht="16.5" x14ac:dyDescent="0.15">
      <c r="A534" s="32">
        <v>4013520</v>
      </c>
      <c r="B534" s="33" t="s">
        <v>166</v>
      </c>
      <c r="C534" s="33" t="s">
        <v>782</v>
      </c>
      <c r="D534" s="33">
        <v>1352</v>
      </c>
    </row>
    <row r="535" spans="1:4" ht="16.5" x14ac:dyDescent="0.15">
      <c r="A535" s="32">
        <v>4013530</v>
      </c>
      <c r="B535" s="33" t="s">
        <v>292</v>
      </c>
      <c r="C535" s="33" t="s">
        <v>782</v>
      </c>
      <c r="D535" s="33">
        <v>1353</v>
      </c>
    </row>
    <row r="536" spans="1:4" ht="16.5" x14ac:dyDescent="0.15">
      <c r="A536" s="33">
        <v>4013540</v>
      </c>
      <c r="B536" s="33" t="s">
        <v>116</v>
      </c>
      <c r="C536" s="33" t="s">
        <v>782</v>
      </c>
      <c r="D536" s="32">
        <v>1354</v>
      </c>
    </row>
    <row r="537" spans="1:4" ht="16.5" x14ac:dyDescent="0.15">
      <c r="A537" s="32">
        <v>4014140</v>
      </c>
      <c r="B537" s="33" t="s">
        <v>506</v>
      </c>
      <c r="C537" s="33" t="s">
        <v>782</v>
      </c>
      <c r="D537" s="33">
        <v>1414</v>
      </c>
    </row>
    <row r="538" spans="1:4" ht="16.5" x14ac:dyDescent="0.15">
      <c r="A538" s="32">
        <v>4014150</v>
      </c>
      <c r="B538" s="33" t="s">
        <v>213</v>
      </c>
      <c r="C538" s="33" t="s">
        <v>782</v>
      </c>
      <c r="D538" s="33">
        <v>1415</v>
      </c>
    </row>
    <row r="539" spans="1:4" ht="16.5" x14ac:dyDescent="0.15">
      <c r="A539" s="32">
        <v>4014160</v>
      </c>
      <c r="B539" s="32" t="s">
        <v>281</v>
      </c>
      <c r="C539" s="33" t="s">
        <v>782</v>
      </c>
      <c r="D539" s="32">
        <v>1416</v>
      </c>
    </row>
    <row r="540" spans="1:4" ht="16.5" x14ac:dyDescent="0.15">
      <c r="A540" s="32">
        <v>4014170</v>
      </c>
      <c r="B540" s="32" t="s">
        <v>367</v>
      </c>
      <c r="C540" s="33" t="s">
        <v>782</v>
      </c>
      <c r="D540" s="32">
        <v>1417</v>
      </c>
    </row>
    <row r="541" spans="1:4" ht="16.5" x14ac:dyDescent="0.15">
      <c r="A541" s="33">
        <v>4014180</v>
      </c>
      <c r="B541" s="32" t="s">
        <v>796</v>
      </c>
      <c r="C541" s="33" t="s">
        <v>782</v>
      </c>
      <c r="D541" s="33">
        <v>1418</v>
      </c>
    </row>
    <row r="542" spans="1:4" ht="16.5" x14ac:dyDescent="0.15">
      <c r="A542" s="33">
        <v>4015000</v>
      </c>
      <c r="B542" s="33" t="s">
        <v>222</v>
      </c>
      <c r="C542" s="33" t="s">
        <v>782</v>
      </c>
      <c r="D542" s="32">
        <v>1500</v>
      </c>
    </row>
    <row r="543" spans="1:4" ht="16.5" x14ac:dyDescent="0.15">
      <c r="A543" s="33">
        <v>4015010</v>
      </c>
      <c r="B543" s="33" t="s">
        <v>330</v>
      </c>
      <c r="C543" s="33" t="s">
        <v>782</v>
      </c>
      <c r="D543" s="32">
        <v>1501</v>
      </c>
    </row>
    <row r="544" spans="1:4" ht="16.5" x14ac:dyDescent="0.15">
      <c r="A544" s="33">
        <v>4015020</v>
      </c>
      <c r="B544" s="33" t="s">
        <v>332</v>
      </c>
      <c r="C544" s="33" t="s">
        <v>782</v>
      </c>
      <c r="D544" s="33">
        <v>1502</v>
      </c>
    </row>
    <row r="545" spans="1:4" ht="16.5" x14ac:dyDescent="0.15">
      <c r="A545" s="33">
        <v>4015030</v>
      </c>
      <c r="B545" s="33" t="s">
        <v>148</v>
      </c>
      <c r="C545" s="33" t="s">
        <v>782</v>
      </c>
      <c r="D545" s="33">
        <v>1503</v>
      </c>
    </row>
    <row r="546" spans="1:4" ht="16.5" x14ac:dyDescent="0.15">
      <c r="A546" s="51">
        <v>4015040</v>
      </c>
      <c r="B546" s="51" t="s">
        <v>49</v>
      </c>
      <c r="C546" s="51" t="s">
        <v>782</v>
      </c>
      <c r="D546" s="51">
        <v>1504</v>
      </c>
    </row>
    <row r="547" spans="1:4" ht="16.5" x14ac:dyDescent="0.15">
      <c r="A547" s="33">
        <v>4015050</v>
      </c>
      <c r="B547" s="33" t="s">
        <v>60</v>
      </c>
      <c r="C547" s="33" t="s">
        <v>782</v>
      </c>
      <c r="D547" s="33">
        <v>1505</v>
      </c>
    </row>
    <row r="548" spans="1:4" ht="16.5" x14ac:dyDescent="0.15">
      <c r="A548" s="33">
        <v>4015060</v>
      </c>
      <c r="B548" s="33" t="s">
        <v>797</v>
      </c>
      <c r="C548" s="33" t="s">
        <v>782</v>
      </c>
      <c r="D548" s="33">
        <v>1506</v>
      </c>
    </row>
    <row r="549" spans="1:4" ht="16.5" x14ac:dyDescent="0.15">
      <c r="A549" s="33">
        <v>4015310</v>
      </c>
      <c r="B549" s="32" t="s">
        <v>342</v>
      </c>
      <c r="C549" s="33" t="s">
        <v>782</v>
      </c>
      <c r="D549" s="32">
        <v>1531</v>
      </c>
    </row>
    <row r="550" spans="1:4" ht="16.5" x14ac:dyDescent="0.15">
      <c r="A550" s="32">
        <v>4015320</v>
      </c>
      <c r="B550" s="32" t="s">
        <v>59</v>
      </c>
      <c r="C550" s="33" t="s">
        <v>782</v>
      </c>
      <c r="D550" s="32">
        <v>1532</v>
      </c>
    </row>
    <row r="551" spans="1:4" ht="16.5" x14ac:dyDescent="0.15">
      <c r="A551" s="32">
        <v>4016000</v>
      </c>
      <c r="B551" s="33" t="s">
        <v>30</v>
      </c>
      <c r="C551" s="33" t="s">
        <v>782</v>
      </c>
      <c r="D551" s="33">
        <v>1600</v>
      </c>
    </row>
    <row r="552" spans="1:4" ht="16.5" x14ac:dyDescent="0.15">
      <c r="A552" s="32">
        <v>4016010</v>
      </c>
      <c r="B552" s="33" t="s">
        <v>154</v>
      </c>
      <c r="C552" s="33" t="s">
        <v>782</v>
      </c>
      <c r="D552" s="33">
        <v>1601</v>
      </c>
    </row>
    <row r="553" spans="1:4" ht="16.5" x14ac:dyDescent="0.15">
      <c r="A553" s="32">
        <v>4016020</v>
      </c>
      <c r="B553" s="33" t="s">
        <v>168</v>
      </c>
      <c r="C553" s="33" t="s">
        <v>782</v>
      </c>
      <c r="D553" s="33">
        <v>1602</v>
      </c>
    </row>
    <row r="554" spans="1:4" ht="16.5" x14ac:dyDescent="0.15">
      <c r="A554" s="32">
        <v>4016030</v>
      </c>
      <c r="B554" s="32" t="s">
        <v>329</v>
      </c>
      <c r="C554" s="33" t="s">
        <v>782</v>
      </c>
      <c r="D554" s="32">
        <v>1603</v>
      </c>
    </row>
    <row r="555" spans="1:4" ht="16.5" x14ac:dyDescent="0.15">
      <c r="A555" s="32">
        <v>4016040</v>
      </c>
      <c r="B555" s="32" t="s">
        <v>228</v>
      </c>
      <c r="C555" s="33" t="s">
        <v>782</v>
      </c>
      <c r="D555" s="32">
        <v>1604</v>
      </c>
    </row>
    <row r="556" spans="1:4" ht="16.5" x14ac:dyDescent="0.15">
      <c r="A556" s="32">
        <v>4016050</v>
      </c>
      <c r="B556" s="32" t="s">
        <v>98</v>
      </c>
      <c r="C556" s="33" t="s">
        <v>782</v>
      </c>
      <c r="D556" s="32">
        <v>1605</v>
      </c>
    </row>
    <row r="557" spans="1:4" ht="16.5" x14ac:dyDescent="0.15">
      <c r="A557" s="33">
        <v>4016060</v>
      </c>
      <c r="B557" s="33" t="s">
        <v>162</v>
      </c>
      <c r="C557" s="33" t="s">
        <v>782</v>
      </c>
      <c r="D557" s="32">
        <v>1606</v>
      </c>
    </row>
    <row r="558" spans="1:4" ht="16.5" x14ac:dyDescent="0.15">
      <c r="A558" s="33">
        <v>4016070</v>
      </c>
      <c r="B558" s="33" t="s">
        <v>194</v>
      </c>
      <c r="C558" s="33" t="s">
        <v>782</v>
      </c>
      <c r="D558" s="33">
        <v>1607</v>
      </c>
    </row>
    <row r="559" spans="1:4" ht="16.5" x14ac:dyDescent="0.15">
      <c r="A559" s="33">
        <v>4016080</v>
      </c>
      <c r="B559" s="33" t="s">
        <v>401</v>
      </c>
      <c r="C559" s="33" t="s">
        <v>782</v>
      </c>
      <c r="D559" s="33">
        <v>1608</v>
      </c>
    </row>
    <row r="560" spans="1:4" ht="16.5" x14ac:dyDescent="0.15">
      <c r="A560" s="33">
        <v>4016090</v>
      </c>
      <c r="B560" s="33" t="s">
        <v>291</v>
      </c>
      <c r="C560" s="33" t="s">
        <v>782</v>
      </c>
      <c r="D560" s="33">
        <v>1609</v>
      </c>
    </row>
    <row r="561" spans="1:4" ht="16.5" x14ac:dyDescent="0.15">
      <c r="A561" s="32">
        <v>4016200</v>
      </c>
      <c r="B561" s="32" t="s">
        <v>798</v>
      </c>
      <c r="C561" s="33" t="s">
        <v>782</v>
      </c>
      <c r="D561" s="32">
        <v>1620</v>
      </c>
    </row>
    <row r="562" spans="1:4" ht="16.5" x14ac:dyDescent="0.15">
      <c r="A562" s="32">
        <v>4016300</v>
      </c>
      <c r="B562" s="32" t="s">
        <v>192</v>
      </c>
      <c r="C562" s="33" t="s">
        <v>782</v>
      </c>
      <c r="D562" s="33">
        <v>1630</v>
      </c>
    </row>
    <row r="563" spans="1:4" ht="16.5" x14ac:dyDescent="0.15">
      <c r="A563" s="32">
        <v>4016310</v>
      </c>
      <c r="B563" s="32" t="s">
        <v>109</v>
      </c>
      <c r="C563" s="33" t="s">
        <v>782</v>
      </c>
      <c r="D563" s="32">
        <v>1631</v>
      </c>
    </row>
    <row r="564" spans="1:4" ht="16.5" x14ac:dyDescent="0.15">
      <c r="A564" s="32">
        <v>4016320</v>
      </c>
      <c r="B564" s="32" t="s">
        <v>37</v>
      </c>
      <c r="C564" s="33" t="s">
        <v>782</v>
      </c>
      <c r="D564" s="32">
        <v>1632</v>
      </c>
    </row>
    <row r="565" spans="1:4" ht="16.5" x14ac:dyDescent="0.15">
      <c r="A565" s="32">
        <v>4016330</v>
      </c>
      <c r="B565" s="32" t="s">
        <v>108</v>
      </c>
      <c r="C565" s="33" t="s">
        <v>782</v>
      </c>
      <c r="D565" s="32">
        <v>1633</v>
      </c>
    </row>
    <row r="566" spans="1:4" ht="16.5" x14ac:dyDescent="0.15">
      <c r="A566" s="32">
        <v>4016340</v>
      </c>
      <c r="B566" s="32" t="s">
        <v>12</v>
      </c>
      <c r="C566" s="33" t="s">
        <v>782</v>
      </c>
      <c r="D566" s="32">
        <v>1634</v>
      </c>
    </row>
    <row r="567" spans="1:4" ht="16.5" x14ac:dyDescent="0.15">
      <c r="A567" s="32">
        <v>4016350</v>
      </c>
      <c r="B567" s="33" t="s">
        <v>74</v>
      </c>
      <c r="C567" s="33" t="s">
        <v>782</v>
      </c>
      <c r="D567" s="32">
        <v>1635</v>
      </c>
    </row>
    <row r="568" spans="1:4" ht="16.5" x14ac:dyDescent="0.15">
      <c r="A568" s="33">
        <v>4016360</v>
      </c>
      <c r="B568" s="33" t="s">
        <v>19</v>
      </c>
      <c r="C568" s="33" t="s">
        <v>782</v>
      </c>
      <c r="D568" s="33">
        <v>1636</v>
      </c>
    </row>
    <row r="569" spans="1:4" ht="16.5" x14ac:dyDescent="0.15">
      <c r="A569" s="33">
        <v>4016370</v>
      </c>
      <c r="B569" s="33" t="s">
        <v>68</v>
      </c>
      <c r="C569" s="33" t="s">
        <v>782</v>
      </c>
      <c r="D569" s="32">
        <v>1637</v>
      </c>
    </row>
    <row r="570" spans="1:4" ht="16.5" x14ac:dyDescent="0.15">
      <c r="A570" s="33">
        <v>4016380</v>
      </c>
      <c r="B570" s="33" t="s">
        <v>77</v>
      </c>
      <c r="C570" s="33" t="s">
        <v>782</v>
      </c>
      <c r="D570" s="33">
        <v>1638</v>
      </c>
    </row>
    <row r="571" spans="1:4" ht="16.5" x14ac:dyDescent="0.15">
      <c r="A571" s="33">
        <v>4016390</v>
      </c>
      <c r="B571" s="33" t="s">
        <v>290</v>
      </c>
      <c r="C571" s="33" t="s">
        <v>782</v>
      </c>
      <c r="D571" s="32">
        <v>1639</v>
      </c>
    </row>
    <row r="572" spans="1:4" ht="16.5" x14ac:dyDescent="0.15">
      <c r="A572" s="32">
        <v>4016400</v>
      </c>
      <c r="B572" s="32" t="s">
        <v>647</v>
      </c>
      <c r="C572" s="33" t="s">
        <v>782</v>
      </c>
      <c r="D572" s="32">
        <v>1640</v>
      </c>
    </row>
    <row r="573" spans="1:4" ht="16.5" x14ac:dyDescent="0.15">
      <c r="A573" s="32">
        <v>4016410</v>
      </c>
      <c r="B573" s="32" t="s">
        <v>395</v>
      </c>
      <c r="C573" s="33" t="s">
        <v>782</v>
      </c>
      <c r="D573" s="32">
        <v>1641</v>
      </c>
    </row>
    <row r="574" spans="1:4" ht="16.5" x14ac:dyDescent="0.15">
      <c r="A574" s="32">
        <v>4016420</v>
      </c>
      <c r="B574" s="32" t="s">
        <v>29</v>
      </c>
      <c r="C574" s="33" t="s">
        <v>782</v>
      </c>
      <c r="D574" s="32">
        <v>1642</v>
      </c>
    </row>
    <row r="575" spans="1:4" ht="16.5" x14ac:dyDescent="0.15">
      <c r="A575" s="32">
        <v>4016430</v>
      </c>
      <c r="B575" s="32" t="s">
        <v>145</v>
      </c>
      <c r="C575" s="33" t="s">
        <v>782</v>
      </c>
      <c r="D575" s="32">
        <v>1643</v>
      </c>
    </row>
    <row r="576" spans="1:4" ht="16.5" x14ac:dyDescent="0.15">
      <c r="A576" s="33">
        <v>4016500</v>
      </c>
      <c r="B576" s="33" t="s">
        <v>221</v>
      </c>
      <c r="C576" s="33" t="s">
        <v>782</v>
      </c>
      <c r="D576" s="32">
        <v>1650</v>
      </c>
    </row>
    <row r="577" spans="1:4" ht="16.5" x14ac:dyDescent="0.15">
      <c r="A577" s="33">
        <v>4016510</v>
      </c>
      <c r="B577" s="33" t="s">
        <v>289</v>
      </c>
      <c r="C577" s="33" t="s">
        <v>782</v>
      </c>
      <c r="D577" s="33">
        <v>1651</v>
      </c>
    </row>
    <row r="578" spans="1:4" ht="16.5" x14ac:dyDescent="0.15">
      <c r="A578" s="33">
        <v>4016520</v>
      </c>
      <c r="B578" s="33" t="s">
        <v>799</v>
      </c>
      <c r="C578" s="33" t="s">
        <v>782</v>
      </c>
      <c r="D578" s="33">
        <v>1652</v>
      </c>
    </row>
    <row r="579" spans="1:4" ht="16.5" x14ac:dyDescent="0.15">
      <c r="A579" s="32">
        <v>4016600</v>
      </c>
      <c r="B579" s="33" t="s">
        <v>102</v>
      </c>
      <c r="C579" s="33" t="s">
        <v>782</v>
      </c>
      <c r="D579" s="32">
        <v>1660</v>
      </c>
    </row>
    <row r="580" spans="1:4" ht="16.5" x14ac:dyDescent="0.15">
      <c r="A580" s="33">
        <v>4016610</v>
      </c>
      <c r="B580" s="33" t="s">
        <v>50</v>
      </c>
      <c r="C580" s="33" t="s">
        <v>782</v>
      </c>
      <c r="D580" s="32">
        <v>1661</v>
      </c>
    </row>
    <row r="581" spans="1:4" ht="16.5" x14ac:dyDescent="0.15">
      <c r="A581" s="33">
        <v>4016620</v>
      </c>
      <c r="B581" s="33" t="s">
        <v>155</v>
      </c>
      <c r="C581" s="33" t="s">
        <v>782</v>
      </c>
      <c r="D581" s="32">
        <v>1662</v>
      </c>
    </row>
    <row r="582" spans="1:4" ht="16.5" x14ac:dyDescent="0.15">
      <c r="A582" s="33">
        <v>4016630</v>
      </c>
      <c r="B582" s="33" t="s">
        <v>322</v>
      </c>
      <c r="C582" s="33" t="s">
        <v>782</v>
      </c>
      <c r="D582" s="32">
        <v>1663</v>
      </c>
    </row>
    <row r="583" spans="1:4" ht="16.5" x14ac:dyDescent="0.15">
      <c r="A583" s="32">
        <v>4016700</v>
      </c>
      <c r="B583" s="32" t="s">
        <v>230</v>
      </c>
      <c r="C583" s="33" t="s">
        <v>782</v>
      </c>
      <c r="D583" s="32">
        <v>1670</v>
      </c>
    </row>
    <row r="584" spans="1:4" ht="16.5" x14ac:dyDescent="0.15">
      <c r="A584" s="33">
        <v>4016710</v>
      </c>
      <c r="B584" s="33" t="s">
        <v>274</v>
      </c>
      <c r="C584" s="33" t="s">
        <v>782</v>
      </c>
      <c r="D584" s="32">
        <v>1671</v>
      </c>
    </row>
    <row r="585" spans="1:4" ht="16.5" x14ac:dyDescent="0.15">
      <c r="A585" s="33">
        <v>4016720</v>
      </c>
      <c r="B585" s="33" t="s">
        <v>181</v>
      </c>
      <c r="C585" s="33" t="s">
        <v>782</v>
      </c>
      <c r="D585" s="33">
        <v>1672</v>
      </c>
    </row>
    <row r="586" spans="1:4" ht="16.5" x14ac:dyDescent="0.15">
      <c r="A586" s="33">
        <v>4016730</v>
      </c>
      <c r="B586" s="33" t="s">
        <v>296</v>
      </c>
      <c r="C586" s="33" t="s">
        <v>782</v>
      </c>
      <c r="D586" s="32">
        <v>1673</v>
      </c>
    </row>
    <row r="587" spans="1:4" ht="16.5" x14ac:dyDescent="0.15">
      <c r="A587" s="33">
        <v>4016740</v>
      </c>
      <c r="B587" s="33" t="s">
        <v>301</v>
      </c>
      <c r="C587" s="33" t="s">
        <v>782</v>
      </c>
      <c r="D587" s="33">
        <v>1674</v>
      </c>
    </row>
    <row r="588" spans="1:4" ht="16.5" x14ac:dyDescent="0.15">
      <c r="A588" s="33">
        <v>4016750</v>
      </c>
      <c r="B588" s="33" t="s">
        <v>800</v>
      </c>
      <c r="C588" s="33" t="s">
        <v>782</v>
      </c>
      <c r="D588" s="33">
        <v>1675</v>
      </c>
    </row>
    <row r="589" spans="1:4" ht="16.5" x14ac:dyDescent="0.15">
      <c r="A589" s="33">
        <v>4016810</v>
      </c>
      <c r="B589" s="33" t="s">
        <v>462</v>
      </c>
      <c r="C589" s="33" t="s">
        <v>782</v>
      </c>
      <c r="D589" s="32">
        <v>1681</v>
      </c>
    </row>
    <row r="590" spans="1:4" ht="16.5" x14ac:dyDescent="0.15">
      <c r="A590" s="33">
        <v>4016820</v>
      </c>
      <c r="B590" s="33" t="s">
        <v>183</v>
      </c>
      <c r="C590" s="33" t="s">
        <v>782</v>
      </c>
      <c r="D590" s="33">
        <v>1682</v>
      </c>
    </row>
    <row r="591" spans="1:4" ht="16.5" x14ac:dyDescent="0.15">
      <c r="A591" s="33">
        <v>4016830</v>
      </c>
      <c r="B591" s="33" t="s">
        <v>119</v>
      </c>
      <c r="C591" s="33" t="s">
        <v>782</v>
      </c>
      <c r="D591" s="33">
        <v>1683</v>
      </c>
    </row>
    <row r="592" spans="1:4" ht="16.5" x14ac:dyDescent="0.15">
      <c r="A592" s="32">
        <v>4016900</v>
      </c>
      <c r="B592" s="33" t="s">
        <v>554</v>
      </c>
      <c r="C592" s="33" t="s">
        <v>782</v>
      </c>
      <c r="D592" s="32">
        <v>1690</v>
      </c>
    </row>
    <row r="593" spans="1:4" ht="16.5" x14ac:dyDescent="0.15">
      <c r="A593" s="33">
        <v>4016910</v>
      </c>
      <c r="B593" s="33" t="s">
        <v>478</v>
      </c>
      <c r="C593" s="33" t="s">
        <v>782</v>
      </c>
      <c r="D593" s="32">
        <v>1691</v>
      </c>
    </row>
    <row r="594" spans="1:4" ht="16.5" x14ac:dyDescent="0.15">
      <c r="A594" s="33">
        <v>4016920</v>
      </c>
      <c r="B594" s="33" t="s">
        <v>349</v>
      </c>
      <c r="C594" s="33" t="s">
        <v>782</v>
      </c>
      <c r="D594" s="32">
        <v>1692</v>
      </c>
    </row>
    <row r="595" spans="1:4" ht="16.5" x14ac:dyDescent="0.15">
      <c r="A595" s="33">
        <v>4016930</v>
      </c>
      <c r="B595" s="33" t="s">
        <v>179</v>
      </c>
      <c r="C595" s="33" t="s">
        <v>782</v>
      </c>
      <c r="D595" s="33">
        <v>1693</v>
      </c>
    </row>
    <row r="596" spans="1:4" ht="16.5" x14ac:dyDescent="0.15">
      <c r="A596" s="33">
        <v>4016940</v>
      </c>
      <c r="B596" s="33" t="s">
        <v>801</v>
      </c>
      <c r="C596" s="33" t="s">
        <v>782</v>
      </c>
      <c r="D596" s="33">
        <v>1694</v>
      </c>
    </row>
    <row r="597" spans="1:4" ht="16.5" x14ac:dyDescent="0.15">
      <c r="A597" s="33">
        <v>4016950</v>
      </c>
      <c r="B597" s="33" t="s">
        <v>802</v>
      </c>
      <c r="C597" s="33" t="s">
        <v>782</v>
      </c>
      <c r="D597" s="33">
        <v>1695</v>
      </c>
    </row>
    <row r="598" spans="1:4" ht="16.5" x14ac:dyDescent="0.15">
      <c r="A598" s="33">
        <v>4016960</v>
      </c>
      <c r="B598" s="33" t="s">
        <v>206</v>
      </c>
      <c r="C598" s="33" t="s">
        <v>782</v>
      </c>
      <c r="D598" s="33">
        <v>1696</v>
      </c>
    </row>
    <row r="599" spans="1:4" ht="16.5" x14ac:dyDescent="0.15">
      <c r="A599" s="33">
        <v>4016970</v>
      </c>
      <c r="B599" s="33" t="s">
        <v>803</v>
      </c>
      <c r="C599" s="33" t="s">
        <v>782</v>
      </c>
      <c r="D599" s="33">
        <v>1697</v>
      </c>
    </row>
    <row r="600" spans="1:4" ht="16.5" x14ac:dyDescent="0.15">
      <c r="A600" s="33">
        <v>4016980</v>
      </c>
      <c r="B600" s="33" t="s">
        <v>302</v>
      </c>
      <c r="C600" s="33" t="s">
        <v>782</v>
      </c>
      <c r="D600" s="33">
        <v>1698</v>
      </c>
    </row>
    <row r="601" spans="1:4" ht="16.5" x14ac:dyDescent="0.15">
      <c r="A601" s="33">
        <v>4017000</v>
      </c>
      <c r="B601" s="33" t="s">
        <v>137</v>
      </c>
      <c r="C601" s="33" t="s">
        <v>782</v>
      </c>
      <c r="D601" s="32">
        <v>1700</v>
      </c>
    </row>
    <row r="602" spans="1:4" ht="16.5" x14ac:dyDescent="0.15">
      <c r="A602" s="33">
        <v>4017010</v>
      </c>
      <c r="B602" s="33" t="s">
        <v>134</v>
      </c>
      <c r="C602" s="33" t="s">
        <v>782</v>
      </c>
      <c r="D602" s="32">
        <v>1701</v>
      </c>
    </row>
    <row r="603" spans="1:4" ht="16.5" x14ac:dyDescent="0.15">
      <c r="A603" s="33">
        <v>4017020</v>
      </c>
      <c r="B603" s="33" t="s">
        <v>804</v>
      </c>
      <c r="C603" s="33" t="s">
        <v>782</v>
      </c>
      <c r="D603" s="32">
        <v>1702</v>
      </c>
    </row>
    <row r="604" spans="1:4" ht="16.5" x14ac:dyDescent="0.15">
      <c r="A604" s="33">
        <v>4017030</v>
      </c>
      <c r="B604" s="33" t="s">
        <v>297</v>
      </c>
      <c r="C604" s="33" t="s">
        <v>782</v>
      </c>
      <c r="D604" s="33">
        <v>1703</v>
      </c>
    </row>
    <row r="605" spans="1:4" ht="16.5" x14ac:dyDescent="0.15">
      <c r="A605" s="33">
        <v>4017110</v>
      </c>
      <c r="B605" s="33" t="s">
        <v>131</v>
      </c>
      <c r="C605" s="33" t="s">
        <v>782</v>
      </c>
      <c r="D605" s="33">
        <v>1711</v>
      </c>
    </row>
    <row r="606" spans="1:4" ht="16.5" x14ac:dyDescent="0.15">
      <c r="A606" s="33">
        <v>4017120</v>
      </c>
      <c r="B606" s="33" t="s">
        <v>298</v>
      </c>
      <c r="C606" s="33" t="s">
        <v>782</v>
      </c>
      <c r="D606" s="33">
        <v>1712</v>
      </c>
    </row>
    <row r="607" spans="1:4" ht="16.5" x14ac:dyDescent="0.15">
      <c r="A607" s="33">
        <v>4017210</v>
      </c>
      <c r="B607" s="33" t="s">
        <v>300</v>
      </c>
      <c r="C607" s="33" t="s">
        <v>782</v>
      </c>
      <c r="D607" s="33">
        <v>1721</v>
      </c>
    </row>
    <row r="608" spans="1:4" ht="16.5" x14ac:dyDescent="0.15">
      <c r="A608" s="32">
        <v>4017220</v>
      </c>
      <c r="B608" s="32" t="s">
        <v>299</v>
      </c>
      <c r="C608" s="33" t="s">
        <v>782</v>
      </c>
      <c r="D608" s="32">
        <v>1722</v>
      </c>
    </row>
    <row r="609" spans="1:4" ht="16.5" x14ac:dyDescent="0.15">
      <c r="A609" s="32">
        <v>4017230</v>
      </c>
      <c r="B609" s="32" t="s">
        <v>34</v>
      </c>
      <c r="C609" s="33" t="s">
        <v>782</v>
      </c>
      <c r="D609" s="32">
        <v>1723</v>
      </c>
    </row>
    <row r="610" spans="1:4" ht="16.5" x14ac:dyDescent="0.15">
      <c r="A610" s="33">
        <v>4017260</v>
      </c>
      <c r="B610" s="33" t="s">
        <v>805</v>
      </c>
      <c r="C610" s="33" t="s">
        <v>782</v>
      </c>
      <c r="D610" s="32">
        <v>1726</v>
      </c>
    </row>
    <row r="611" spans="1:4" ht="16.5" x14ac:dyDescent="0.15">
      <c r="A611" s="33">
        <v>4017400</v>
      </c>
      <c r="B611" s="33" t="s">
        <v>10</v>
      </c>
      <c r="C611" s="33" t="s">
        <v>782</v>
      </c>
      <c r="D611" s="33">
        <v>1740</v>
      </c>
    </row>
    <row r="612" spans="1:4" ht="16.5" x14ac:dyDescent="0.15">
      <c r="A612" s="32">
        <v>4017410</v>
      </c>
      <c r="B612" s="32" t="s">
        <v>118</v>
      </c>
      <c r="C612" s="33" t="s">
        <v>782</v>
      </c>
      <c r="D612" s="32">
        <v>1741</v>
      </c>
    </row>
    <row r="613" spans="1:4" ht="16.5" x14ac:dyDescent="0.15">
      <c r="A613" s="33">
        <v>4017420</v>
      </c>
      <c r="B613" s="33" t="s">
        <v>806</v>
      </c>
      <c r="C613" s="33" t="s">
        <v>782</v>
      </c>
      <c r="D613" s="33">
        <v>1742</v>
      </c>
    </row>
    <row r="614" spans="1:4" ht="16.5" x14ac:dyDescent="0.15">
      <c r="A614" s="33">
        <v>4017510</v>
      </c>
      <c r="B614" s="33" t="s">
        <v>807</v>
      </c>
      <c r="C614" s="33" t="s">
        <v>782</v>
      </c>
      <c r="D614" s="33">
        <v>1751</v>
      </c>
    </row>
    <row r="615" spans="1:4" ht="16.5" x14ac:dyDescent="0.15">
      <c r="A615" s="33">
        <v>4017520</v>
      </c>
      <c r="B615" s="33" t="s">
        <v>808</v>
      </c>
      <c r="C615" s="33" t="s">
        <v>782</v>
      </c>
      <c r="D615" s="33">
        <v>1752</v>
      </c>
    </row>
    <row r="616" spans="1:4" ht="16.5" x14ac:dyDescent="0.15">
      <c r="A616" s="33">
        <v>4017810</v>
      </c>
      <c r="B616" s="33" t="s">
        <v>25</v>
      </c>
      <c r="C616" s="33" t="s">
        <v>782</v>
      </c>
      <c r="D616" s="33">
        <v>1781</v>
      </c>
    </row>
    <row r="617" spans="1:4" ht="16.5" x14ac:dyDescent="0.15">
      <c r="A617" s="33">
        <v>4017820</v>
      </c>
      <c r="B617" s="33" t="s">
        <v>69</v>
      </c>
      <c r="C617" s="33" t="s">
        <v>782</v>
      </c>
      <c r="D617" s="33">
        <v>1782</v>
      </c>
    </row>
    <row r="618" spans="1:4" ht="16.5" x14ac:dyDescent="0.15">
      <c r="A618" s="33">
        <v>4017830</v>
      </c>
      <c r="B618" s="33" t="s">
        <v>304</v>
      </c>
      <c r="C618" s="33" t="s">
        <v>782</v>
      </c>
      <c r="D618" s="33">
        <v>1783</v>
      </c>
    </row>
    <row r="619" spans="1:4" ht="16.5" x14ac:dyDescent="0.15">
      <c r="A619" s="33">
        <v>4017840</v>
      </c>
      <c r="B619" s="33" t="s">
        <v>809</v>
      </c>
      <c r="C619" s="33" t="s">
        <v>782</v>
      </c>
      <c r="D619" s="33">
        <v>1784</v>
      </c>
    </row>
    <row r="620" spans="1:4" ht="16.5" x14ac:dyDescent="0.15">
      <c r="A620" s="33">
        <v>4017910</v>
      </c>
      <c r="B620" s="33" t="s">
        <v>303</v>
      </c>
      <c r="C620" s="33" t="s">
        <v>782</v>
      </c>
      <c r="D620" s="32">
        <v>1791</v>
      </c>
    </row>
    <row r="621" spans="1:4" ht="16.5" x14ac:dyDescent="0.15">
      <c r="A621" s="33">
        <v>4017920</v>
      </c>
      <c r="B621" s="33" t="s">
        <v>306</v>
      </c>
      <c r="C621" s="33" t="s">
        <v>782</v>
      </c>
      <c r="D621" s="33">
        <v>1792</v>
      </c>
    </row>
    <row r="622" spans="1:4" ht="16.5" x14ac:dyDescent="0.15">
      <c r="A622" s="33">
        <v>4018500</v>
      </c>
      <c r="B622" s="33" t="s">
        <v>305</v>
      </c>
      <c r="C622" s="33" t="s">
        <v>782</v>
      </c>
      <c r="D622" s="33">
        <v>1850</v>
      </c>
    </row>
    <row r="623" spans="1:4" ht="16.5" x14ac:dyDescent="0.15">
      <c r="A623" s="33">
        <v>4018510</v>
      </c>
      <c r="B623" s="33" t="s">
        <v>810</v>
      </c>
      <c r="C623" s="33" t="s">
        <v>782</v>
      </c>
      <c r="D623" s="33">
        <v>1851</v>
      </c>
    </row>
    <row r="624" spans="1:4" ht="16.5" x14ac:dyDescent="0.15">
      <c r="A624" s="33">
        <v>4018520</v>
      </c>
      <c r="B624" s="33" t="s">
        <v>811</v>
      </c>
      <c r="C624" s="33" t="s">
        <v>782</v>
      </c>
      <c r="D624" s="33">
        <v>1852</v>
      </c>
    </row>
    <row r="625" spans="1:4" ht="16.5" x14ac:dyDescent="0.15">
      <c r="A625" s="33">
        <v>4018530</v>
      </c>
      <c r="B625" s="33" t="s">
        <v>812</v>
      </c>
      <c r="C625" s="33" t="s">
        <v>782</v>
      </c>
      <c r="D625" s="32">
        <v>1853</v>
      </c>
    </row>
    <row r="626" spans="1:4" ht="16.5" x14ac:dyDescent="0.15">
      <c r="A626" s="32">
        <v>4019010</v>
      </c>
      <c r="B626" s="32" t="s">
        <v>490</v>
      </c>
      <c r="C626" s="32" t="s">
        <v>782</v>
      </c>
      <c r="D626" s="32">
        <v>1901</v>
      </c>
    </row>
    <row r="627" spans="1:4" ht="16.5" x14ac:dyDescent="0.15">
      <c r="A627" s="33">
        <v>4019030</v>
      </c>
      <c r="B627" s="33" t="s">
        <v>423</v>
      </c>
      <c r="C627" s="32" t="s">
        <v>782</v>
      </c>
      <c r="D627" s="33">
        <v>1903</v>
      </c>
    </row>
    <row r="628" spans="1:4" ht="16.5" x14ac:dyDescent="0.15">
      <c r="A628" s="33">
        <v>4019040</v>
      </c>
      <c r="B628" s="33" t="s">
        <v>360</v>
      </c>
      <c r="C628" s="32" t="s">
        <v>782</v>
      </c>
      <c r="D628" s="33">
        <v>1904</v>
      </c>
    </row>
    <row r="629" spans="1:4" ht="16.5" x14ac:dyDescent="0.15">
      <c r="A629" s="33">
        <v>4019050</v>
      </c>
      <c r="B629" s="33" t="s">
        <v>319</v>
      </c>
      <c r="C629" s="33" t="s">
        <v>782</v>
      </c>
      <c r="D629" s="33">
        <v>1905</v>
      </c>
    </row>
    <row r="630" spans="1:4" ht="16.5" x14ac:dyDescent="0.15">
      <c r="A630" s="33">
        <v>4019060</v>
      </c>
      <c r="B630" s="33" t="s">
        <v>201</v>
      </c>
      <c r="C630" s="33" t="s">
        <v>782</v>
      </c>
      <c r="D630" s="33">
        <v>1906</v>
      </c>
    </row>
    <row r="631" spans="1:4" ht="16.5" x14ac:dyDescent="0.15">
      <c r="A631" s="33">
        <v>4019070</v>
      </c>
      <c r="B631" s="33" t="s">
        <v>88</v>
      </c>
      <c r="C631" s="33" t="s">
        <v>782</v>
      </c>
      <c r="D631" s="33">
        <v>1907</v>
      </c>
    </row>
    <row r="632" spans="1:4" ht="16.5" x14ac:dyDescent="0.15">
      <c r="A632" s="33">
        <v>4019110</v>
      </c>
      <c r="B632" s="33" t="s">
        <v>101</v>
      </c>
      <c r="C632" s="33" t="s">
        <v>782</v>
      </c>
      <c r="D632" s="32">
        <v>1911</v>
      </c>
    </row>
    <row r="633" spans="1:4" ht="16.5" x14ac:dyDescent="0.15">
      <c r="A633" s="33">
        <v>4019120</v>
      </c>
      <c r="B633" s="33" t="s">
        <v>813</v>
      </c>
      <c r="C633" s="33" t="s">
        <v>782</v>
      </c>
      <c r="D633" s="33">
        <v>1912</v>
      </c>
    </row>
    <row r="634" spans="1:4" ht="16.5" x14ac:dyDescent="0.15">
      <c r="A634" s="33">
        <v>4019130</v>
      </c>
      <c r="B634" s="33" t="s">
        <v>766</v>
      </c>
      <c r="C634" s="33" t="s">
        <v>782</v>
      </c>
      <c r="D634" s="33">
        <v>1913</v>
      </c>
    </row>
    <row r="635" spans="1:4" ht="16.5" x14ac:dyDescent="0.15">
      <c r="A635" s="33">
        <v>4019140</v>
      </c>
      <c r="B635" s="33" t="s">
        <v>767</v>
      </c>
      <c r="C635" s="33" t="s">
        <v>782</v>
      </c>
      <c r="D635" s="33">
        <v>1914</v>
      </c>
    </row>
    <row r="636" spans="1:4" ht="16.5" x14ac:dyDescent="0.15">
      <c r="A636" s="32">
        <v>4019500</v>
      </c>
      <c r="B636" s="32" t="s">
        <v>91</v>
      </c>
      <c r="C636" s="32" t="s">
        <v>782</v>
      </c>
      <c r="D636" s="32">
        <v>1950</v>
      </c>
    </row>
    <row r="637" spans="1:4" ht="16.5" x14ac:dyDescent="0.15">
      <c r="A637" s="32">
        <v>4019510</v>
      </c>
      <c r="B637" s="32" t="s">
        <v>105</v>
      </c>
      <c r="C637" s="32" t="s">
        <v>782</v>
      </c>
      <c r="D637" s="32">
        <v>1951</v>
      </c>
    </row>
    <row r="638" spans="1:4" ht="16.5" x14ac:dyDescent="0.15">
      <c r="A638" s="33">
        <v>4019520</v>
      </c>
      <c r="B638" s="33" t="s">
        <v>176</v>
      </c>
      <c r="C638" s="32" t="s">
        <v>782</v>
      </c>
      <c r="D638" s="33">
        <v>1952</v>
      </c>
    </row>
    <row r="639" spans="1:4" ht="16.5" x14ac:dyDescent="0.15">
      <c r="A639" s="33">
        <v>4019530</v>
      </c>
      <c r="B639" s="33" t="s">
        <v>158</v>
      </c>
      <c r="C639" s="32" t="s">
        <v>782</v>
      </c>
      <c r="D639" s="33">
        <v>1953</v>
      </c>
    </row>
    <row r="640" spans="1:4" ht="16.5" x14ac:dyDescent="0.15">
      <c r="A640" s="33">
        <v>4019540</v>
      </c>
      <c r="B640" s="33" t="s">
        <v>211</v>
      </c>
      <c r="C640" s="32" t="s">
        <v>782</v>
      </c>
      <c r="D640" s="33">
        <v>1954</v>
      </c>
    </row>
    <row r="641" spans="1:4" ht="16.5" x14ac:dyDescent="0.15">
      <c r="A641" s="33">
        <v>4019550</v>
      </c>
      <c r="B641" s="33" t="s">
        <v>307</v>
      </c>
      <c r="C641" s="33" t="s">
        <v>782</v>
      </c>
      <c r="D641" s="33">
        <v>1955</v>
      </c>
    </row>
    <row r="642" spans="1:4" ht="16.5" x14ac:dyDescent="0.15">
      <c r="A642" s="33">
        <v>4019560</v>
      </c>
      <c r="B642" s="33" t="s">
        <v>814</v>
      </c>
      <c r="C642" s="33" t="s">
        <v>782</v>
      </c>
      <c r="D642" s="33">
        <v>1956</v>
      </c>
    </row>
    <row r="643" spans="1:4" ht="16.5" x14ac:dyDescent="0.15">
      <c r="A643" s="33">
        <v>4022000</v>
      </c>
      <c r="B643" s="33" t="s">
        <v>38</v>
      </c>
      <c r="C643" s="33" t="s">
        <v>782</v>
      </c>
      <c r="D643" s="33">
        <v>2200</v>
      </c>
    </row>
    <row r="644" spans="1:4" ht="16.5" x14ac:dyDescent="0.15">
      <c r="A644" s="52">
        <v>4022010</v>
      </c>
      <c r="B644" s="52" t="s">
        <v>14</v>
      </c>
      <c r="C644" s="52" t="s">
        <v>782</v>
      </c>
      <c r="D644" s="52">
        <v>2201</v>
      </c>
    </row>
    <row r="645" spans="1:4" ht="16.5" x14ac:dyDescent="0.15">
      <c r="A645" s="33">
        <v>4022020</v>
      </c>
      <c r="B645" s="33" t="s">
        <v>35</v>
      </c>
      <c r="C645" s="33" t="s">
        <v>782</v>
      </c>
      <c r="D645" s="33">
        <v>2202</v>
      </c>
    </row>
    <row r="646" spans="1:4" ht="16.5" x14ac:dyDescent="0.15">
      <c r="A646" s="33">
        <v>4022030</v>
      </c>
      <c r="B646" s="33" t="s">
        <v>65</v>
      </c>
      <c r="C646" s="33" t="s">
        <v>782</v>
      </c>
      <c r="D646" s="33">
        <v>2203</v>
      </c>
    </row>
    <row r="647" spans="1:4" ht="16.5" x14ac:dyDescent="0.15">
      <c r="A647" s="33">
        <v>4022040</v>
      </c>
      <c r="B647" s="32" t="s">
        <v>117</v>
      </c>
      <c r="C647" s="33" t="s">
        <v>782</v>
      </c>
      <c r="D647" s="32">
        <v>2204</v>
      </c>
    </row>
    <row r="648" spans="1:4" ht="16.5" x14ac:dyDescent="0.15">
      <c r="A648" s="53">
        <v>4022050</v>
      </c>
      <c r="B648" s="53" t="s">
        <v>308</v>
      </c>
      <c r="C648" s="53" t="s">
        <v>782</v>
      </c>
      <c r="D648" s="53">
        <v>2205</v>
      </c>
    </row>
    <row r="649" spans="1:4" ht="16.5" x14ac:dyDescent="0.15">
      <c r="A649" s="33">
        <v>4022060</v>
      </c>
      <c r="B649" s="33" t="s">
        <v>754</v>
      </c>
      <c r="C649" s="33" t="s">
        <v>782</v>
      </c>
      <c r="D649" s="33">
        <v>2206</v>
      </c>
    </row>
    <row r="650" spans="1:4" ht="16.5" x14ac:dyDescent="0.15">
      <c r="A650" s="33">
        <v>4022210</v>
      </c>
      <c r="B650" s="33" t="s">
        <v>309</v>
      </c>
      <c r="C650" s="33" t="s">
        <v>782</v>
      </c>
      <c r="D650" s="33">
        <v>2221</v>
      </c>
    </row>
    <row r="651" spans="1:4" ht="16.5" x14ac:dyDescent="0.15">
      <c r="A651" s="33">
        <v>4022220</v>
      </c>
      <c r="B651" s="33" t="s">
        <v>11</v>
      </c>
      <c r="C651" s="33" t="s">
        <v>782</v>
      </c>
      <c r="D651" s="32">
        <v>2222</v>
      </c>
    </row>
    <row r="652" spans="1:4" ht="16.5" x14ac:dyDescent="0.15">
      <c r="A652" s="33">
        <v>4022240</v>
      </c>
      <c r="B652" s="33" t="s">
        <v>815</v>
      </c>
      <c r="C652" s="33" t="s">
        <v>782</v>
      </c>
      <c r="D652" s="33">
        <v>2224</v>
      </c>
    </row>
    <row r="653" spans="1:4" ht="16.5" x14ac:dyDescent="0.15">
      <c r="A653" s="54">
        <v>4022360</v>
      </c>
      <c r="B653" s="54" t="s">
        <v>310</v>
      </c>
      <c r="C653" s="54" t="s">
        <v>782</v>
      </c>
      <c r="D653" s="54">
        <v>2236</v>
      </c>
    </row>
    <row r="654" spans="1:4" ht="16.5" x14ac:dyDescent="0.15">
      <c r="A654" s="33">
        <v>4022370</v>
      </c>
      <c r="B654" s="33" t="s">
        <v>816</v>
      </c>
      <c r="C654" s="33" t="s">
        <v>782</v>
      </c>
      <c r="D654" s="33">
        <v>2237</v>
      </c>
    </row>
    <row r="655" spans="1:4" ht="16.5" x14ac:dyDescent="0.15">
      <c r="A655" s="33">
        <v>4022380</v>
      </c>
      <c r="B655" s="33" t="s">
        <v>817</v>
      </c>
      <c r="C655" s="33" t="s">
        <v>782</v>
      </c>
      <c r="D655" s="32">
        <v>2238</v>
      </c>
    </row>
    <row r="656" spans="1:4" ht="16.5" x14ac:dyDescent="0.15">
      <c r="A656" s="33">
        <v>4023000</v>
      </c>
      <c r="B656" s="33" t="s">
        <v>78</v>
      </c>
      <c r="C656" s="33" t="s">
        <v>782</v>
      </c>
      <c r="D656" s="33">
        <v>2300</v>
      </c>
    </row>
    <row r="657" spans="1:4" ht="16.5" x14ac:dyDescent="0.15">
      <c r="A657" s="33">
        <v>4023010</v>
      </c>
      <c r="B657" s="33" t="s">
        <v>55</v>
      </c>
      <c r="C657" s="33" t="s">
        <v>782</v>
      </c>
      <c r="D657" s="33">
        <v>2301</v>
      </c>
    </row>
    <row r="658" spans="1:4" ht="16.5" x14ac:dyDescent="0.15">
      <c r="A658" s="33">
        <v>4023020</v>
      </c>
      <c r="B658" s="48" t="s">
        <v>311</v>
      </c>
      <c r="C658" s="33" t="s">
        <v>782</v>
      </c>
      <c r="D658" s="33">
        <v>2302</v>
      </c>
    </row>
    <row r="659" spans="1:4" ht="16.5" x14ac:dyDescent="0.15">
      <c r="A659" s="33">
        <v>4023160</v>
      </c>
      <c r="B659" s="33" t="s">
        <v>161</v>
      </c>
      <c r="C659" s="33" t="s">
        <v>782</v>
      </c>
      <c r="D659" s="32">
        <v>2316</v>
      </c>
    </row>
    <row r="660" spans="1:4" ht="16.5" x14ac:dyDescent="0.15">
      <c r="A660" s="33">
        <v>4023170</v>
      </c>
      <c r="B660" s="33" t="s">
        <v>312</v>
      </c>
      <c r="C660" s="33" t="s">
        <v>782</v>
      </c>
      <c r="D660" s="32">
        <v>2317</v>
      </c>
    </row>
    <row r="661" spans="1:4" ht="16.5" x14ac:dyDescent="0.15">
      <c r="A661" s="33">
        <v>4023180</v>
      </c>
      <c r="B661" s="33" t="s">
        <v>818</v>
      </c>
      <c r="C661" s="33" t="s">
        <v>782</v>
      </c>
      <c r="D661" s="33">
        <v>2318</v>
      </c>
    </row>
    <row r="662" spans="1:4" ht="16.5" x14ac:dyDescent="0.15">
      <c r="A662" s="33">
        <v>4023190</v>
      </c>
      <c r="B662" s="33" t="s">
        <v>819</v>
      </c>
      <c r="C662" s="33" t="s">
        <v>782</v>
      </c>
      <c r="D662" s="33">
        <v>2319</v>
      </c>
    </row>
    <row r="663" spans="1:4" ht="16.5" x14ac:dyDescent="0.15">
      <c r="A663" s="33">
        <v>4024000</v>
      </c>
      <c r="B663" s="33" t="s">
        <v>758</v>
      </c>
      <c r="C663" s="33" t="s">
        <v>782</v>
      </c>
      <c r="D663" s="33">
        <v>2400</v>
      </c>
    </row>
    <row r="664" spans="1:4" ht="16.5" x14ac:dyDescent="0.15">
      <c r="A664" s="33">
        <v>4024110</v>
      </c>
      <c r="B664" s="33" t="s">
        <v>820</v>
      </c>
      <c r="C664" s="33" t="s">
        <v>782</v>
      </c>
      <c r="D664" s="33">
        <v>2411</v>
      </c>
    </row>
    <row r="665" spans="1:4" ht="16.5" x14ac:dyDescent="0.15">
      <c r="A665" s="33"/>
      <c r="B665" s="33"/>
      <c r="C665" s="33"/>
      <c r="D665" s="33"/>
    </row>
  </sheetData>
  <autoFilter ref="A1:D935" xr:uid="{00000000-0009-0000-0000-000002000000}"/>
  <phoneticPr fontId="21" type="noConversion"/>
  <conditionalFormatting sqref="A501">
    <cfRule type="duplicateValues" dxfId="19" priority="3"/>
  </conditionalFormatting>
  <conditionalFormatting sqref="A643">
    <cfRule type="duplicateValues" dxfId="18" priority="2"/>
  </conditionalFormatting>
  <conditionalFormatting sqref="D643">
    <cfRule type="duplicateValues" dxfId="17" priority="1"/>
  </conditionalFormatting>
  <conditionalFormatting sqref="A657">
    <cfRule type="duplicateValues" dxfId="16" priority="31"/>
  </conditionalFormatting>
  <conditionalFormatting sqref="D657">
    <cfRule type="duplicateValues" dxfId="15" priority="30"/>
  </conditionalFormatting>
  <conditionalFormatting sqref="D658">
    <cfRule type="duplicateValues" dxfId="14" priority="25"/>
  </conditionalFormatting>
  <conditionalFormatting sqref="D659">
    <cfRule type="duplicateValues" dxfId="13" priority="24"/>
  </conditionalFormatting>
  <conditionalFormatting sqref="D660">
    <cfRule type="duplicateValues" dxfId="12" priority="23"/>
  </conditionalFormatting>
  <conditionalFormatting sqref="D661">
    <cfRule type="duplicateValues" dxfId="11" priority="22"/>
  </conditionalFormatting>
  <conditionalFormatting sqref="D662">
    <cfRule type="duplicateValues" dxfId="10" priority="21"/>
  </conditionalFormatting>
  <conditionalFormatting sqref="D663">
    <cfRule type="duplicateValues" dxfId="9" priority="20"/>
  </conditionalFormatting>
  <conditionalFormatting sqref="A664">
    <cfRule type="duplicateValues" dxfId="8" priority="27"/>
  </conditionalFormatting>
  <conditionalFormatting sqref="D664">
    <cfRule type="duplicateValues" dxfId="7" priority="19"/>
  </conditionalFormatting>
  <conditionalFormatting sqref="A665">
    <cfRule type="duplicateValues" dxfId="6" priority="16"/>
  </conditionalFormatting>
  <conditionalFormatting sqref="D665">
    <cfRule type="duplicateValues" dxfId="5" priority="6"/>
  </conditionalFormatting>
  <conditionalFormatting sqref="A644:A645">
    <cfRule type="duplicateValues" dxfId="4" priority="37"/>
  </conditionalFormatting>
  <conditionalFormatting sqref="A647:A650">
    <cfRule type="duplicateValues" dxfId="3" priority="35"/>
  </conditionalFormatting>
  <conditionalFormatting sqref="A658:A663">
    <cfRule type="duplicateValues" dxfId="2" priority="28"/>
  </conditionalFormatting>
  <conditionalFormatting sqref="D644:D645">
    <cfRule type="duplicateValues" dxfId="1" priority="36"/>
  </conditionalFormatting>
  <conditionalFormatting sqref="D647:D650">
    <cfRule type="duplicateValues" dxfId="0" priority="34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2"/>
  <sheetViews>
    <sheetView workbookViewId="0">
      <selection activeCell="C3" sqref="C3"/>
    </sheetView>
  </sheetViews>
  <sheetFormatPr defaultColWidth="9" defaultRowHeight="13.5" x14ac:dyDescent="0.15"/>
  <cols>
    <col min="1" max="1" width="10.375" customWidth="1"/>
  </cols>
  <sheetData>
    <row r="1" spans="1:2" x14ac:dyDescent="0.15">
      <c r="A1" s="27" t="s">
        <v>771</v>
      </c>
      <c r="B1" t="s">
        <v>772</v>
      </c>
    </row>
    <row r="2" spans="1:2" ht="16.5" x14ac:dyDescent="0.15">
      <c r="A2" s="28">
        <v>2</v>
      </c>
      <c r="B2" s="29" t="s">
        <v>150</v>
      </c>
    </row>
    <row r="3" spans="1:2" x14ac:dyDescent="0.15">
      <c r="A3" s="28">
        <v>1001</v>
      </c>
      <c r="B3" s="28" t="s">
        <v>821</v>
      </c>
    </row>
    <row r="4" spans="1:2" x14ac:dyDescent="0.15">
      <c r="A4" s="28">
        <v>1004</v>
      </c>
      <c r="B4" s="28" t="s">
        <v>822</v>
      </c>
    </row>
    <row r="5" spans="1:2" x14ac:dyDescent="0.15">
      <c r="A5" s="28">
        <v>1002</v>
      </c>
      <c r="B5" s="28" t="s">
        <v>823</v>
      </c>
    </row>
    <row r="6" spans="1:2" x14ac:dyDescent="0.15">
      <c r="A6" s="28">
        <v>1003</v>
      </c>
      <c r="B6" s="28" t="s">
        <v>32</v>
      </c>
    </row>
    <row r="7" spans="1:2" x14ac:dyDescent="0.15">
      <c r="A7" s="28">
        <v>1101</v>
      </c>
      <c r="B7" s="28" t="s">
        <v>824</v>
      </c>
    </row>
    <row r="8" spans="1:2" ht="16.5" x14ac:dyDescent="0.15">
      <c r="A8" s="28">
        <v>2000</v>
      </c>
      <c r="B8" s="29" t="s">
        <v>825</v>
      </c>
    </row>
    <row r="9" spans="1:2" ht="16.5" x14ac:dyDescent="0.15">
      <c r="A9" s="28">
        <v>2001</v>
      </c>
      <c r="B9" s="29" t="s">
        <v>826</v>
      </c>
    </row>
    <row r="10" spans="1:2" ht="16.5" x14ac:dyDescent="0.15">
      <c r="A10" s="28">
        <v>2002</v>
      </c>
      <c r="B10" s="29" t="s">
        <v>239</v>
      </c>
    </row>
    <row r="11" spans="1:2" ht="16.5" x14ac:dyDescent="0.15">
      <c r="A11" s="28">
        <v>2003</v>
      </c>
      <c r="B11" s="29" t="s">
        <v>827</v>
      </c>
    </row>
    <row r="12" spans="1:2" ht="16.5" x14ac:dyDescent="0.15">
      <c r="A12" s="28">
        <v>2004</v>
      </c>
      <c r="B12" s="29" t="s">
        <v>828</v>
      </c>
    </row>
    <row r="13" spans="1:2" x14ac:dyDescent="0.15">
      <c r="A13" s="28">
        <v>3002</v>
      </c>
      <c r="B13" s="28" t="s">
        <v>829</v>
      </c>
    </row>
    <row r="14" spans="1:2" ht="16.5" x14ac:dyDescent="0.15">
      <c r="A14" s="28">
        <v>4001</v>
      </c>
      <c r="B14" s="29" t="s">
        <v>830</v>
      </c>
    </row>
    <row r="15" spans="1:2" ht="16.5" x14ac:dyDescent="0.15">
      <c r="A15" s="28">
        <v>5002</v>
      </c>
      <c r="B15" s="29" t="s">
        <v>831</v>
      </c>
    </row>
    <row r="16" spans="1:2" ht="16.5" x14ac:dyDescent="0.15">
      <c r="A16" s="28">
        <v>5003</v>
      </c>
      <c r="B16" s="29" t="s">
        <v>832</v>
      </c>
    </row>
    <row r="17" spans="1:2" ht="16.5" x14ac:dyDescent="0.15">
      <c r="A17" s="30">
        <v>5005</v>
      </c>
      <c r="B17" s="29" t="s">
        <v>833</v>
      </c>
    </row>
    <row r="18" spans="1:2" ht="16.5" x14ac:dyDescent="0.15">
      <c r="A18" s="28">
        <v>5006</v>
      </c>
      <c r="B18" s="29" t="s">
        <v>270</v>
      </c>
    </row>
    <row r="19" spans="1:2" ht="16.5" x14ac:dyDescent="0.15">
      <c r="A19" s="28">
        <v>5007</v>
      </c>
      <c r="B19" s="29" t="s">
        <v>834</v>
      </c>
    </row>
    <row r="20" spans="1:2" x14ac:dyDescent="0.15">
      <c r="A20" s="28" t="e">
        <v>#N/A</v>
      </c>
      <c r="B20" s="28" t="s">
        <v>279</v>
      </c>
    </row>
    <row r="21" spans="1:2" ht="16.5" x14ac:dyDescent="0.15">
      <c r="A21" s="28">
        <v>23</v>
      </c>
      <c r="B21" s="29" t="s">
        <v>835</v>
      </c>
    </row>
    <row r="22" spans="1:2" ht="16.5" x14ac:dyDescent="0.15">
      <c r="A22" s="28">
        <v>103</v>
      </c>
      <c r="B22" s="29" t="s">
        <v>128</v>
      </c>
    </row>
  </sheetData>
  <phoneticPr fontId="2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ColWidth="9" defaultRowHeight="13.5" x14ac:dyDescent="0.15"/>
  <sheetData/>
  <phoneticPr fontId="2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75"/>
  <sheetViews>
    <sheetView workbookViewId="0">
      <selection activeCell="G15" sqref="G15"/>
    </sheetView>
  </sheetViews>
  <sheetFormatPr defaultColWidth="9" defaultRowHeight="13.5" x14ac:dyDescent="0.15"/>
  <cols>
    <col min="1" max="1" width="12.375" customWidth="1"/>
    <col min="2" max="2" width="7" customWidth="1"/>
    <col min="4" max="4" width="12.875" customWidth="1"/>
    <col min="5" max="5" width="13.125" customWidth="1"/>
    <col min="6" max="6" width="7.125" customWidth="1"/>
  </cols>
  <sheetData>
    <row r="1" spans="1:7" ht="14.25" x14ac:dyDescent="0.15">
      <c r="A1" s="4" t="s">
        <v>836</v>
      </c>
      <c r="B1" s="4" t="s">
        <v>837</v>
      </c>
      <c r="C1" s="5" t="s">
        <v>2</v>
      </c>
      <c r="D1" s="3" t="s">
        <v>3</v>
      </c>
      <c r="E1" s="3" t="s">
        <v>4</v>
      </c>
    </row>
    <row r="2" spans="1:7" ht="15" x14ac:dyDescent="0.15">
      <c r="A2" s="8" t="s">
        <v>46</v>
      </c>
      <c r="B2" s="8">
        <v>2743</v>
      </c>
      <c r="C2" s="9" t="s">
        <v>36</v>
      </c>
      <c r="D2" s="3" t="s">
        <v>47</v>
      </c>
      <c r="E2" s="3">
        <v>2000</v>
      </c>
      <c r="G2" t="e">
        <f>VLOOKUP(A2,武将获取途径!$A:$D,2,0)</f>
        <v>#N/A</v>
      </c>
    </row>
    <row r="3" spans="1:7" ht="15" x14ac:dyDescent="0.15">
      <c r="A3" s="8" t="s">
        <v>58</v>
      </c>
      <c r="B3" s="8">
        <v>2700</v>
      </c>
      <c r="C3" s="9" t="s">
        <v>36</v>
      </c>
      <c r="D3" s="3" t="s">
        <v>47</v>
      </c>
      <c r="E3" s="3">
        <v>10000</v>
      </c>
      <c r="G3" t="e">
        <f>VLOOKUP(A3,武将获取途径!$A:$D,2,0)</f>
        <v>#N/A</v>
      </c>
    </row>
    <row r="4" spans="1:7" ht="15" x14ac:dyDescent="0.15">
      <c r="A4" s="10" t="s">
        <v>70</v>
      </c>
      <c r="B4" s="10">
        <v>2591</v>
      </c>
      <c r="C4" s="11" t="s">
        <v>71</v>
      </c>
      <c r="D4" s="3" t="s">
        <v>47</v>
      </c>
      <c r="E4" s="3">
        <v>6000</v>
      </c>
      <c r="G4" t="e">
        <f>VLOOKUP(A4,武将获取途径!$A:$D,2,0)</f>
        <v>#N/A</v>
      </c>
    </row>
    <row r="5" spans="1:7" ht="15" x14ac:dyDescent="0.15">
      <c r="A5" s="10" t="s">
        <v>84</v>
      </c>
      <c r="B5" s="10">
        <v>2560</v>
      </c>
      <c r="C5" s="11" t="s">
        <v>71</v>
      </c>
      <c r="D5" s="3" t="s">
        <v>47</v>
      </c>
      <c r="E5" s="3">
        <v>2000</v>
      </c>
      <c r="G5">
        <f>VLOOKUP(A5,武将获取途径!$A:$D,2,0)</f>
        <v>1033</v>
      </c>
    </row>
    <row r="6" spans="1:7" ht="15" x14ac:dyDescent="0.15">
      <c r="A6" s="10" t="s">
        <v>90</v>
      </c>
      <c r="B6" s="10">
        <v>2544</v>
      </c>
      <c r="C6" s="11" t="s">
        <v>71</v>
      </c>
      <c r="D6" s="3" t="s">
        <v>47</v>
      </c>
      <c r="E6" s="3">
        <v>10000</v>
      </c>
      <c r="G6" t="e">
        <f>VLOOKUP(A6,武将获取途径!$A:$D,2,0)</f>
        <v>#N/A</v>
      </c>
    </row>
    <row r="7" spans="1:7" ht="15" x14ac:dyDescent="0.15">
      <c r="A7" s="10" t="s">
        <v>100</v>
      </c>
      <c r="B7" s="10">
        <v>2502</v>
      </c>
      <c r="C7" s="11" t="s">
        <v>71</v>
      </c>
      <c r="D7" s="3" t="s">
        <v>47</v>
      </c>
      <c r="E7" s="3">
        <v>2000</v>
      </c>
      <c r="G7" t="e">
        <f>VLOOKUP(A7,武将获取途径!$A:$D,2,0)</f>
        <v>#N/A</v>
      </c>
    </row>
    <row r="8" spans="1:7" ht="15" x14ac:dyDescent="0.15">
      <c r="A8" s="10" t="s">
        <v>101</v>
      </c>
      <c r="B8" s="10">
        <v>2500</v>
      </c>
      <c r="C8" s="11" t="s">
        <v>71</v>
      </c>
      <c r="D8" s="3" t="s">
        <v>833</v>
      </c>
      <c r="E8" s="3" t="s">
        <v>838</v>
      </c>
      <c r="G8">
        <f>VLOOKUP(A8,武将获取途径!$A:$D,2,0)</f>
        <v>1911</v>
      </c>
    </row>
    <row r="9" spans="1:7" ht="15" x14ac:dyDescent="0.15">
      <c r="A9" s="10" t="s">
        <v>104</v>
      </c>
      <c r="B9" s="10">
        <v>2498</v>
      </c>
      <c r="C9" s="11" t="s">
        <v>71</v>
      </c>
      <c r="D9" s="3" t="s">
        <v>47</v>
      </c>
      <c r="E9" s="3">
        <v>5000</v>
      </c>
      <c r="G9">
        <f>VLOOKUP(A9,武将获取途径!$A:$D,2,0)</f>
        <v>1017</v>
      </c>
    </row>
    <row r="10" spans="1:7" ht="15" x14ac:dyDescent="0.15">
      <c r="A10" s="10" t="s">
        <v>105</v>
      </c>
      <c r="B10" s="10">
        <v>2496</v>
      </c>
      <c r="C10" s="11" t="s">
        <v>71</v>
      </c>
      <c r="D10" s="3" t="s">
        <v>47</v>
      </c>
      <c r="E10" s="3">
        <v>3000</v>
      </c>
      <c r="G10" t="e">
        <f>VLOOKUP(A10,武将获取途径!$A:$D,2,0)</f>
        <v>#N/A</v>
      </c>
    </row>
    <row r="11" spans="1:7" ht="15" x14ac:dyDescent="0.15">
      <c r="A11" s="10" t="s">
        <v>106</v>
      </c>
      <c r="B11" s="10">
        <v>2494</v>
      </c>
      <c r="C11" s="11" t="s">
        <v>71</v>
      </c>
      <c r="D11" s="3" t="s">
        <v>47</v>
      </c>
      <c r="E11" s="3">
        <v>2000</v>
      </c>
      <c r="G11" t="e">
        <f>VLOOKUP(A11,武将获取途径!$A:$D,2,0)</f>
        <v>#N/A</v>
      </c>
    </row>
    <row r="12" spans="1:7" ht="15" x14ac:dyDescent="0.15">
      <c r="A12" s="10" t="s">
        <v>113</v>
      </c>
      <c r="B12" s="10">
        <v>2476</v>
      </c>
      <c r="C12" s="11" t="s">
        <v>71</v>
      </c>
      <c r="D12" s="3" t="s">
        <v>47</v>
      </c>
      <c r="E12" s="3">
        <v>1500</v>
      </c>
      <c r="G12">
        <f>VLOOKUP(A12,武将获取途径!$A:$D,2,0)</f>
        <v>1122</v>
      </c>
    </row>
    <row r="13" spans="1:7" ht="15" x14ac:dyDescent="0.15">
      <c r="A13" s="10" t="s">
        <v>115</v>
      </c>
      <c r="B13" s="10">
        <v>2466</v>
      </c>
      <c r="C13" s="11" t="s">
        <v>71</v>
      </c>
      <c r="D13" s="3" t="s">
        <v>47</v>
      </c>
      <c r="E13" s="3">
        <v>2000</v>
      </c>
      <c r="G13">
        <f>VLOOKUP(A13,武将获取途径!$A:$D,2,0)</f>
        <v>805</v>
      </c>
    </row>
    <row r="14" spans="1:7" ht="15" x14ac:dyDescent="0.15">
      <c r="A14" s="6" t="s">
        <v>130</v>
      </c>
      <c r="B14" s="6">
        <v>2378</v>
      </c>
      <c r="C14" s="7" t="s">
        <v>121</v>
      </c>
      <c r="D14" s="3" t="s">
        <v>47</v>
      </c>
      <c r="E14" s="3">
        <v>2000</v>
      </c>
      <c r="G14" t="e">
        <f>VLOOKUP(A14,武将获取途径!$A:$D,2,0)</f>
        <v>#N/A</v>
      </c>
    </row>
    <row r="15" spans="1:7" ht="15" x14ac:dyDescent="0.15">
      <c r="A15" s="6" t="s">
        <v>136</v>
      </c>
      <c r="B15" s="6">
        <v>2363</v>
      </c>
      <c r="C15" s="7" t="s">
        <v>121</v>
      </c>
      <c r="D15" s="3" t="s">
        <v>47</v>
      </c>
      <c r="E15" s="3">
        <v>1000</v>
      </c>
      <c r="G15">
        <f>VLOOKUP(A15,武将获取途径!$A:$D,2,0)</f>
        <v>610</v>
      </c>
    </row>
    <row r="16" spans="1:7" ht="15" x14ac:dyDescent="0.15">
      <c r="A16" s="6" t="s">
        <v>139</v>
      </c>
      <c r="B16" s="6">
        <v>2353</v>
      </c>
      <c r="C16" s="7" t="s">
        <v>121</v>
      </c>
      <c r="D16" s="3" t="s">
        <v>47</v>
      </c>
      <c r="E16" s="3">
        <v>3000</v>
      </c>
      <c r="G16">
        <f>VLOOKUP(A16,武将获取途径!$A:$D,2,0)</f>
        <v>1007</v>
      </c>
    </row>
    <row r="17" spans="1:7" ht="15" x14ac:dyDescent="0.15">
      <c r="A17" s="6" t="s">
        <v>144</v>
      </c>
      <c r="B17" s="6">
        <v>2345</v>
      </c>
      <c r="C17" s="7" t="s">
        <v>121</v>
      </c>
      <c r="D17" s="3" t="s">
        <v>47</v>
      </c>
      <c r="E17" s="3">
        <v>1000</v>
      </c>
      <c r="G17" t="e">
        <f>VLOOKUP(A17,武将获取途径!$A:$D,2,0)</f>
        <v>#N/A</v>
      </c>
    </row>
    <row r="18" spans="1:7" ht="15" x14ac:dyDescent="0.15">
      <c r="A18" s="6" t="s">
        <v>146</v>
      </c>
      <c r="B18" s="6">
        <v>2342</v>
      </c>
      <c r="C18" s="7" t="s">
        <v>121</v>
      </c>
      <c r="D18" s="3" t="s">
        <v>47</v>
      </c>
      <c r="E18" s="3">
        <v>10000</v>
      </c>
      <c r="G18" t="e">
        <f>VLOOKUP(A18,武将获取途径!$A:$D,2,0)</f>
        <v>#N/A</v>
      </c>
    </row>
    <row r="19" spans="1:7" ht="15" x14ac:dyDescent="0.15">
      <c r="A19" s="6" t="s">
        <v>147</v>
      </c>
      <c r="B19" s="6">
        <v>2337</v>
      </c>
      <c r="C19" s="7" t="s">
        <v>121</v>
      </c>
      <c r="D19" s="3" t="s">
        <v>47</v>
      </c>
      <c r="E19" s="3">
        <v>6000</v>
      </c>
      <c r="G19">
        <f>VLOOKUP(A19,武将获取途径!$A:$D,2,0)</f>
        <v>551</v>
      </c>
    </row>
    <row r="20" spans="1:7" ht="15" x14ac:dyDescent="0.15">
      <c r="A20" s="6" t="s">
        <v>149</v>
      </c>
      <c r="B20" s="6">
        <v>2331</v>
      </c>
      <c r="C20" s="7" t="s">
        <v>121</v>
      </c>
      <c r="D20" s="3" t="s">
        <v>150</v>
      </c>
      <c r="E20" s="3" t="s">
        <v>151</v>
      </c>
      <c r="F20" t="s">
        <v>184</v>
      </c>
      <c r="G20" t="e">
        <f>VLOOKUP(A20,武将获取途径!$A:$D,2,0)</f>
        <v>#N/A</v>
      </c>
    </row>
    <row r="21" spans="1:7" ht="15" x14ac:dyDescent="0.15">
      <c r="A21" s="6" t="s">
        <v>153</v>
      </c>
      <c r="B21" s="6">
        <v>2329</v>
      </c>
      <c r="C21" s="7" t="s">
        <v>121</v>
      </c>
      <c r="D21" s="3" t="s">
        <v>47</v>
      </c>
      <c r="E21" s="3">
        <v>3000</v>
      </c>
      <c r="G21" t="e">
        <f>VLOOKUP(A21,武将获取途径!$A:$D,2,0)</f>
        <v>#N/A</v>
      </c>
    </row>
    <row r="22" spans="1:7" ht="15" x14ac:dyDescent="0.15">
      <c r="A22" s="6" t="s">
        <v>158</v>
      </c>
      <c r="B22" s="6">
        <v>2321</v>
      </c>
      <c r="C22" s="7" t="s">
        <v>121</v>
      </c>
      <c r="D22" s="3" t="s">
        <v>47</v>
      </c>
      <c r="E22" s="3">
        <v>2000</v>
      </c>
      <c r="G22">
        <f>VLOOKUP(A22,武将获取途径!$A:$D,2,0)</f>
        <v>1953</v>
      </c>
    </row>
    <row r="23" spans="1:7" ht="15" x14ac:dyDescent="0.15">
      <c r="A23" s="6" t="s">
        <v>169</v>
      </c>
      <c r="B23" s="6">
        <v>2286</v>
      </c>
      <c r="C23" s="7" t="s">
        <v>121</v>
      </c>
      <c r="D23" s="3" t="s">
        <v>47</v>
      </c>
      <c r="E23" s="3">
        <v>10000</v>
      </c>
      <c r="G23" t="e">
        <f>VLOOKUP(A23,武将获取途径!$A:$D,2,0)</f>
        <v>#N/A</v>
      </c>
    </row>
    <row r="24" spans="1:7" ht="15" x14ac:dyDescent="0.15">
      <c r="A24" s="6" t="s">
        <v>170</v>
      </c>
      <c r="B24" s="6">
        <v>2286</v>
      </c>
      <c r="C24" s="7" t="s">
        <v>121</v>
      </c>
      <c r="D24" s="3" t="s">
        <v>47</v>
      </c>
      <c r="E24" s="3">
        <v>2000</v>
      </c>
      <c r="G24">
        <f>VLOOKUP(A24,武将获取途径!$A:$D,2,0)</f>
        <v>1150</v>
      </c>
    </row>
    <row r="25" spans="1:7" ht="15" x14ac:dyDescent="0.15">
      <c r="A25" s="6" t="s">
        <v>171</v>
      </c>
      <c r="B25" s="6">
        <v>2280</v>
      </c>
      <c r="C25" s="7" t="s">
        <v>121</v>
      </c>
      <c r="D25" s="3" t="s">
        <v>47</v>
      </c>
      <c r="E25" s="3">
        <v>5000</v>
      </c>
      <c r="G25" t="e">
        <f>VLOOKUP(A25,武将获取途径!$A:$D,2,0)</f>
        <v>#N/A</v>
      </c>
    </row>
    <row r="26" spans="1:7" ht="15" x14ac:dyDescent="0.15">
      <c r="A26" s="6" t="s">
        <v>173</v>
      </c>
      <c r="B26" s="6">
        <v>2276</v>
      </c>
      <c r="C26" s="7" t="s">
        <v>121</v>
      </c>
      <c r="D26" s="3" t="s">
        <v>47</v>
      </c>
      <c r="E26" s="3">
        <v>6000</v>
      </c>
      <c r="G26">
        <f>VLOOKUP(A26,武将获取途径!$A:$D,2,0)</f>
        <v>549</v>
      </c>
    </row>
    <row r="27" spans="1:7" ht="15" x14ac:dyDescent="0.15">
      <c r="A27" s="6" t="s">
        <v>174</v>
      </c>
      <c r="B27" s="6">
        <v>2274</v>
      </c>
      <c r="C27" s="7" t="s">
        <v>121</v>
      </c>
      <c r="D27" s="3" t="s">
        <v>47</v>
      </c>
      <c r="E27" s="3">
        <v>2000</v>
      </c>
      <c r="G27">
        <f>VLOOKUP(A27,武将获取途径!$A:$D,2,0)</f>
        <v>1123</v>
      </c>
    </row>
    <row r="28" spans="1:7" ht="15" x14ac:dyDescent="0.15">
      <c r="A28" s="6" t="s">
        <v>175</v>
      </c>
      <c r="B28" s="6">
        <v>2273</v>
      </c>
      <c r="C28" s="7" t="s">
        <v>121</v>
      </c>
      <c r="D28" s="3" t="s">
        <v>47</v>
      </c>
      <c r="E28" s="3">
        <v>1500</v>
      </c>
      <c r="G28" t="e">
        <f>VLOOKUP(A28,武将获取途径!$A:$D,2,0)</f>
        <v>#N/A</v>
      </c>
    </row>
    <row r="29" spans="1:7" ht="15" x14ac:dyDescent="0.15">
      <c r="A29" s="6" t="s">
        <v>176</v>
      </c>
      <c r="B29" s="6">
        <v>2242</v>
      </c>
      <c r="C29" s="7" t="s">
        <v>121</v>
      </c>
      <c r="D29" s="3" t="s">
        <v>47</v>
      </c>
      <c r="E29" s="3">
        <v>1000</v>
      </c>
      <c r="G29">
        <f>VLOOKUP(A29,武将获取途径!$A:$D,2,0)</f>
        <v>1952</v>
      </c>
    </row>
    <row r="30" spans="1:7" ht="15" x14ac:dyDescent="0.15">
      <c r="A30" s="1" t="s">
        <v>183</v>
      </c>
      <c r="B30" s="1">
        <v>2194</v>
      </c>
      <c r="C30" s="2" t="s">
        <v>182</v>
      </c>
      <c r="D30" s="3" t="s">
        <v>270</v>
      </c>
      <c r="E30" s="3" t="s">
        <v>184</v>
      </c>
      <c r="G30">
        <f>VLOOKUP(A30,武将获取途径!$A:$D,2,0)</f>
        <v>1682</v>
      </c>
    </row>
    <row r="31" spans="1:7" ht="15" x14ac:dyDescent="0.15">
      <c r="A31" s="1" t="s">
        <v>186</v>
      </c>
      <c r="B31" s="1">
        <v>2193</v>
      </c>
      <c r="C31" s="2" t="s">
        <v>182</v>
      </c>
      <c r="D31" s="3" t="s">
        <v>47</v>
      </c>
      <c r="E31" s="3">
        <v>2000</v>
      </c>
      <c r="G31" t="e">
        <f>VLOOKUP(A31,武将获取途径!$A:$D,2,0)</f>
        <v>#N/A</v>
      </c>
    </row>
    <row r="32" spans="1:7" ht="15" x14ac:dyDescent="0.15">
      <c r="A32" s="1" t="s">
        <v>187</v>
      </c>
      <c r="B32" s="1">
        <v>2190</v>
      </c>
      <c r="C32" s="2" t="s">
        <v>182</v>
      </c>
      <c r="D32" s="3" t="s">
        <v>47</v>
      </c>
      <c r="E32" s="3">
        <v>3000</v>
      </c>
      <c r="G32" t="e">
        <f>VLOOKUP(A32,武将获取途径!$A:$D,2,0)</f>
        <v>#N/A</v>
      </c>
    </row>
    <row r="33" spans="1:7" ht="15" x14ac:dyDescent="0.15">
      <c r="A33" s="1" t="s">
        <v>188</v>
      </c>
      <c r="B33" s="1">
        <v>2187</v>
      </c>
      <c r="C33" s="2" t="s">
        <v>182</v>
      </c>
      <c r="D33" s="3" t="s">
        <v>47</v>
      </c>
      <c r="E33" s="3">
        <v>1000</v>
      </c>
      <c r="G33" t="e">
        <f>VLOOKUP(A33,武将获取途径!$A:$D,2,0)</f>
        <v>#N/A</v>
      </c>
    </row>
    <row r="34" spans="1:7" ht="15" x14ac:dyDescent="0.15">
      <c r="A34" s="1" t="s">
        <v>193</v>
      </c>
      <c r="B34" s="1">
        <v>2178</v>
      </c>
      <c r="C34" s="2" t="s">
        <v>182</v>
      </c>
      <c r="D34" s="3" t="s">
        <v>47</v>
      </c>
      <c r="E34" s="3">
        <v>3000</v>
      </c>
      <c r="G34">
        <f>VLOOKUP(A34,武将获取途径!$A:$D,2,0)</f>
        <v>546</v>
      </c>
    </row>
    <row r="35" spans="1:7" ht="15" x14ac:dyDescent="0.15">
      <c r="A35" s="1" t="s">
        <v>195</v>
      </c>
      <c r="B35" s="1">
        <v>2176</v>
      </c>
      <c r="C35" s="2" t="s">
        <v>182</v>
      </c>
      <c r="D35" s="3" t="s">
        <v>150</v>
      </c>
      <c r="E35" s="3" t="s">
        <v>151</v>
      </c>
      <c r="G35" t="e">
        <f>VLOOKUP(A35,武将获取途径!$A:$D,2,0)</f>
        <v>#N/A</v>
      </c>
    </row>
    <row r="36" spans="1:7" ht="15" x14ac:dyDescent="0.15">
      <c r="A36" s="1" t="s">
        <v>198</v>
      </c>
      <c r="B36" s="1">
        <v>2175</v>
      </c>
      <c r="C36" s="2" t="s">
        <v>182</v>
      </c>
      <c r="D36" s="3" t="s">
        <v>47</v>
      </c>
      <c r="E36" s="3">
        <v>2000</v>
      </c>
      <c r="G36" t="e">
        <f>VLOOKUP(A36,武将获取途径!$A:$D,2,0)</f>
        <v>#N/A</v>
      </c>
    </row>
    <row r="37" spans="1:7" ht="15" x14ac:dyDescent="0.15">
      <c r="A37" s="1" t="s">
        <v>200</v>
      </c>
      <c r="B37" s="1">
        <v>2170</v>
      </c>
      <c r="C37" s="2" t="s">
        <v>182</v>
      </c>
      <c r="D37" s="3" t="s">
        <v>47</v>
      </c>
      <c r="E37" s="3">
        <v>1500</v>
      </c>
      <c r="G37" t="e">
        <f>VLOOKUP(A37,武将获取途径!$A:$D,2,0)</f>
        <v>#N/A</v>
      </c>
    </row>
    <row r="38" spans="1:7" ht="15" x14ac:dyDescent="0.15">
      <c r="A38" s="1" t="s">
        <v>207</v>
      </c>
      <c r="B38" s="1">
        <v>2159</v>
      </c>
      <c r="C38" s="2" t="s">
        <v>182</v>
      </c>
      <c r="D38" s="3" t="s">
        <v>47</v>
      </c>
      <c r="E38" s="3">
        <v>2000</v>
      </c>
      <c r="G38">
        <f>VLOOKUP(A38,武将获取途径!$A:$D,2,0)</f>
        <v>1153</v>
      </c>
    </row>
    <row r="39" spans="1:7" ht="15" x14ac:dyDescent="0.15">
      <c r="A39" s="12" t="s">
        <v>213</v>
      </c>
      <c r="B39" s="1">
        <v>2144</v>
      </c>
      <c r="C39" s="2" t="s">
        <v>182</v>
      </c>
      <c r="D39" s="3" t="s">
        <v>150</v>
      </c>
      <c r="E39" s="3" t="s">
        <v>151</v>
      </c>
      <c r="G39" t="e">
        <f>VLOOKUP(A39,武将获取途径!$A:$D,2,0)</f>
        <v>#N/A</v>
      </c>
    </row>
    <row r="40" spans="1:7" ht="15" x14ac:dyDescent="0.15">
      <c r="A40" s="1" t="s">
        <v>214</v>
      </c>
      <c r="B40" s="1">
        <v>2141</v>
      </c>
      <c r="C40" s="2" t="s">
        <v>182</v>
      </c>
      <c r="D40" s="3" t="s">
        <v>47</v>
      </c>
      <c r="E40" s="3">
        <v>1000</v>
      </c>
      <c r="G40" t="e">
        <f>VLOOKUP(A40,武将获取途径!$A:$D,2,0)</f>
        <v>#N/A</v>
      </c>
    </row>
    <row r="41" spans="1:7" ht="15" x14ac:dyDescent="0.15">
      <c r="A41" s="1" t="s">
        <v>215</v>
      </c>
      <c r="B41" s="1">
        <v>2140</v>
      </c>
      <c r="C41" s="2" t="s">
        <v>182</v>
      </c>
      <c r="D41" s="3" t="s">
        <v>47</v>
      </c>
      <c r="E41" s="3">
        <v>500</v>
      </c>
      <c r="G41">
        <f>VLOOKUP(A41,武将获取途径!$A:$D,2,0)</f>
        <v>1031</v>
      </c>
    </row>
    <row r="42" spans="1:7" ht="15" x14ac:dyDescent="0.15">
      <c r="A42" s="1" t="s">
        <v>216</v>
      </c>
      <c r="B42" s="1">
        <v>2140</v>
      </c>
      <c r="C42" s="2" t="s">
        <v>182</v>
      </c>
      <c r="D42" s="3" t="s">
        <v>831</v>
      </c>
      <c r="E42" s="3" t="s">
        <v>839</v>
      </c>
      <c r="F42" t="s">
        <v>184</v>
      </c>
      <c r="G42">
        <f>VLOOKUP(A42,武将获取途径!$A:$D,2,0)</f>
        <v>212</v>
      </c>
    </row>
    <row r="43" spans="1:7" ht="15" x14ac:dyDescent="0.15">
      <c r="A43" s="1" t="s">
        <v>217</v>
      </c>
      <c r="B43" s="1">
        <v>2139</v>
      </c>
      <c r="C43" s="2" t="s">
        <v>182</v>
      </c>
      <c r="D43" s="3" t="s">
        <v>47</v>
      </c>
      <c r="E43" s="3">
        <v>10000</v>
      </c>
      <c r="G43" t="e">
        <f>VLOOKUP(A43,武将获取途径!$A:$D,2,0)</f>
        <v>#N/A</v>
      </c>
    </row>
    <row r="44" spans="1:7" ht="15" x14ac:dyDescent="0.15">
      <c r="A44" s="1" t="s">
        <v>219</v>
      </c>
      <c r="B44" s="1">
        <v>2133</v>
      </c>
      <c r="C44" s="2" t="s">
        <v>182</v>
      </c>
      <c r="D44" s="3" t="s">
        <v>829</v>
      </c>
      <c r="E44" s="3" t="s">
        <v>840</v>
      </c>
      <c r="F44" t="s">
        <v>184</v>
      </c>
      <c r="G44">
        <f>VLOOKUP(A44,武将获取途径!$A:$D,2,0)</f>
        <v>954</v>
      </c>
    </row>
    <row r="45" spans="1:7" ht="15" x14ac:dyDescent="0.15">
      <c r="A45" s="1" t="s">
        <v>220</v>
      </c>
      <c r="B45" s="1">
        <v>2131</v>
      </c>
      <c r="C45" s="2" t="s">
        <v>182</v>
      </c>
      <c r="D45" s="3" t="s">
        <v>47</v>
      </c>
      <c r="E45" s="3">
        <v>2000</v>
      </c>
      <c r="G45" t="e">
        <f>VLOOKUP(A45,武将获取途径!$A:$D,2,0)</f>
        <v>#N/A</v>
      </c>
    </row>
    <row r="46" spans="1:7" ht="15" x14ac:dyDescent="0.15">
      <c r="A46" s="1" t="s">
        <v>223</v>
      </c>
      <c r="B46" s="1">
        <v>2125</v>
      </c>
      <c r="C46" s="2" t="s">
        <v>182</v>
      </c>
      <c r="D46" s="3" t="s">
        <v>47</v>
      </c>
      <c r="E46" s="3">
        <v>1000</v>
      </c>
      <c r="G46" t="e">
        <f>VLOOKUP(A46,武将获取途径!$A:$D,2,0)</f>
        <v>#N/A</v>
      </c>
    </row>
    <row r="47" spans="1:7" ht="15" x14ac:dyDescent="0.15">
      <c r="A47" s="1" t="s">
        <v>226</v>
      </c>
      <c r="B47" s="1">
        <v>2122</v>
      </c>
      <c r="C47" s="2" t="s">
        <v>182</v>
      </c>
      <c r="D47" s="3" t="s">
        <v>47</v>
      </c>
      <c r="E47" s="3">
        <v>1500</v>
      </c>
      <c r="G47" t="e">
        <f>VLOOKUP(A47,武将获取途径!$A:$D,2,0)</f>
        <v>#N/A</v>
      </c>
    </row>
    <row r="48" spans="1:7" ht="15" x14ac:dyDescent="0.15">
      <c r="A48" s="1" t="s">
        <v>231</v>
      </c>
      <c r="B48" s="1">
        <v>2115</v>
      </c>
      <c r="C48" s="2" t="s">
        <v>182</v>
      </c>
      <c r="D48" s="3" t="s">
        <v>150</v>
      </c>
      <c r="E48" s="3" t="s">
        <v>232</v>
      </c>
      <c r="G48" t="e">
        <f>VLOOKUP(A48,武将获取途径!$A:$D,2,0)</f>
        <v>#N/A</v>
      </c>
    </row>
    <row r="49" spans="1:7" ht="15" x14ac:dyDescent="0.15">
      <c r="A49" s="1" t="s">
        <v>233</v>
      </c>
      <c r="B49" s="1">
        <v>2115</v>
      </c>
      <c r="C49" s="2" t="s">
        <v>182</v>
      </c>
      <c r="D49" s="3" t="s">
        <v>47</v>
      </c>
      <c r="E49" s="3">
        <v>2000</v>
      </c>
      <c r="G49">
        <f>VLOOKUP(A49,武将获取途径!$A:$D,2,0)</f>
        <v>543</v>
      </c>
    </row>
    <row r="50" spans="1:7" ht="15" x14ac:dyDescent="0.15">
      <c r="A50" s="1" t="s">
        <v>235</v>
      </c>
      <c r="B50" s="1">
        <v>2113</v>
      </c>
      <c r="C50" s="2" t="s">
        <v>182</v>
      </c>
      <c r="D50" s="3" t="s">
        <v>47</v>
      </c>
      <c r="E50" s="3">
        <v>2000</v>
      </c>
      <c r="G50">
        <f>VLOOKUP(A50,武将获取途径!$A:$D,2,0)</f>
        <v>1180</v>
      </c>
    </row>
    <row r="51" spans="1:7" ht="15" x14ac:dyDescent="0.15">
      <c r="A51" s="1" t="s">
        <v>240</v>
      </c>
      <c r="B51" s="1">
        <v>2102</v>
      </c>
      <c r="C51" s="2" t="s">
        <v>182</v>
      </c>
      <c r="D51" s="3" t="s">
        <v>47</v>
      </c>
      <c r="E51" s="3">
        <v>3000</v>
      </c>
      <c r="G51" t="e">
        <f>VLOOKUP(A51,武将获取途径!$A:$D,2,0)</f>
        <v>#N/A</v>
      </c>
    </row>
    <row r="52" spans="1:7" ht="15" x14ac:dyDescent="0.15">
      <c r="A52" s="1" t="s">
        <v>245</v>
      </c>
      <c r="B52" s="1">
        <v>2095</v>
      </c>
      <c r="C52" s="2" t="s">
        <v>182</v>
      </c>
      <c r="D52" s="3" t="s">
        <v>150</v>
      </c>
      <c r="E52" s="3" t="s">
        <v>839</v>
      </c>
      <c r="G52" t="e">
        <f>VLOOKUP(A52,武将获取途径!$A:$D,2,0)</f>
        <v>#N/A</v>
      </c>
    </row>
    <row r="53" spans="1:7" ht="15" x14ac:dyDescent="0.15">
      <c r="A53" s="12" t="s">
        <v>246</v>
      </c>
      <c r="B53" s="1">
        <v>2091</v>
      </c>
      <c r="C53" s="2" t="s">
        <v>182</v>
      </c>
      <c r="D53" s="3" t="s">
        <v>47</v>
      </c>
      <c r="E53" s="3">
        <v>1000</v>
      </c>
      <c r="G53">
        <f>VLOOKUP(A53,武将获取途径!$A:$D,2,0)</f>
        <v>557</v>
      </c>
    </row>
    <row r="54" spans="1:7" ht="15" x14ac:dyDescent="0.15">
      <c r="A54" s="1" t="s">
        <v>248</v>
      </c>
      <c r="B54" s="1">
        <v>2090</v>
      </c>
      <c r="C54" s="2" t="s">
        <v>182</v>
      </c>
      <c r="D54" s="3" t="s">
        <v>150</v>
      </c>
      <c r="E54" s="3" t="s">
        <v>151</v>
      </c>
      <c r="G54" t="e">
        <f>VLOOKUP(A54,武将获取途径!$A:$D,2,0)</f>
        <v>#N/A</v>
      </c>
    </row>
    <row r="55" spans="1:7" ht="15" x14ac:dyDescent="0.15">
      <c r="A55" s="12" t="s">
        <v>249</v>
      </c>
      <c r="B55" s="1">
        <v>2090</v>
      </c>
      <c r="C55" s="2" t="s">
        <v>182</v>
      </c>
      <c r="D55" s="3" t="s">
        <v>150</v>
      </c>
      <c r="E55" s="3" t="s">
        <v>232</v>
      </c>
      <c r="G55" t="e">
        <f>VLOOKUP(A55,武将获取途径!$A:$D,2,0)</f>
        <v>#N/A</v>
      </c>
    </row>
    <row r="56" spans="1:7" ht="15" x14ac:dyDescent="0.15">
      <c r="A56" s="12" t="s">
        <v>251</v>
      </c>
      <c r="B56" s="1">
        <v>2080</v>
      </c>
      <c r="C56" s="2" t="s">
        <v>182</v>
      </c>
      <c r="D56" s="3" t="s">
        <v>150</v>
      </c>
      <c r="E56" s="3" t="s">
        <v>252</v>
      </c>
      <c r="G56" t="e">
        <f>VLOOKUP(A56,武将获取途径!$A:$D,2,0)</f>
        <v>#N/A</v>
      </c>
    </row>
    <row r="57" spans="1:7" ht="15" x14ac:dyDescent="0.15">
      <c r="A57" s="1" t="s">
        <v>253</v>
      </c>
      <c r="B57" s="1">
        <v>2077</v>
      </c>
      <c r="C57" s="2" t="s">
        <v>182</v>
      </c>
      <c r="D57" s="3" t="s">
        <v>47</v>
      </c>
      <c r="E57" s="3">
        <v>500</v>
      </c>
      <c r="G57" t="e">
        <f>VLOOKUP(A57,武将获取途径!$A:$D,2,0)</f>
        <v>#N/A</v>
      </c>
    </row>
    <row r="58" spans="1:7" ht="15" x14ac:dyDescent="0.15">
      <c r="A58" s="1" t="s">
        <v>256</v>
      </c>
      <c r="B58" s="1">
        <v>2071</v>
      </c>
      <c r="C58" s="2" t="s">
        <v>182</v>
      </c>
      <c r="D58" s="3" t="s">
        <v>47</v>
      </c>
      <c r="E58" s="3">
        <v>1000</v>
      </c>
      <c r="G58" t="e">
        <f>VLOOKUP(A58,武将获取途径!$A:$D,2,0)</f>
        <v>#N/A</v>
      </c>
    </row>
    <row r="59" spans="1:7" ht="15" x14ac:dyDescent="0.15">
      <c r="A59" s="1" t="s">
        <v>259</v>
      </c>
      <c r="B59" s="1">
        <v>2065</v>
      </c>
      <c r="C59" s="2" t="s">
        <v>182</v>
      </c>
      <c r="D59" s="3" t="s">
        <v>47</v>
      </c>
      <c r="E59" s="3">
        <v>1000</v>
      </c>
      <c r="G59">
        <f>VLOOKUP(A59,武将获取途径!$A:$D,2,0)</f>
        <v>1190</v>
      </c>
    </row>
    <row r="60" spans="1:7" ht="15" x14ac:dyDescent="0.15">
      <c r="A60" s="1" t="s">
        <v>261</v>
      </c>
      <c r="B60" s="1">
        <v>2064</v>
      </c>
      <c r="C60" s="2" t="s">
        <v>182</v>
      </c>
      <c r="D60" s="3" t="s">
        <v>47</v>
      </c>
      <c r="E60" s="3">
        <v>20</v>
      </c>
      <c r="G60" t="e">
        <f>VLOOKUP(A60,武将获取途径!$A:$D,2,0)</f>
        <v>#N/A</v>
      </c>
    </row>
    <row r="61" spans="1:7" ht="15" x14ac:dyDescent="0.15">
      <c r="A61" s="1" t="s">
        <v>262</v>
      </c>
      <c r="B61" s="1">
        <v>2064</v>
      </c>
      <c r="C61" s="2" t="s">
        <v>182</v>
      </c>
      <c r="D61" s="3" t="s">
        <v>47</v>
      </c>
      <c r="E61" s="3">
        <v>1000</v>
      </c>
      <c r="G61" t="e">
        <f>VLOOKUP(A61,武将获取途径!$A:$D,2,0)</f>
        <v>#N/A</v>
      </c>
    </row>
    <row r="62" spans="1:7" ht="15" x14ac:dyDescent="0.15">
      <c r="A62" s="1" t="s">
        <v>265</v>
      </c>
      <c r="B62" s="1">
        <v>2061</v>
      </c>
      <c r="C62" s="2" t="s">
        <v>182</v>
      </c>
      <c r="D62" s="3" t="s">
        <v>150</v>
      </c>
      <c r="E62" s="3" t="s">
        <v>151</v>
      </c>
      <c r="G62" t="e">
        <f>VLOOKUP(A62,武将获取途径!$A:$D,2,0)</f>
        <v>#N/A</v>
      </c>
    </row>
    <row r="63" spans="1:7" ht="16.5" x14ac:dyDescent="0.15">
      <c r="A63" s="73" t="s">
        <v>843</v>
      </c>
      <c r="B63" s="1">
        <v>2059</v>
      </c>
      <c r="C63" s="2" t="s">
        <v>182</v>
      </c>
      <c r="D63" s="3" t="s">
        <v>47</v>
      </c>
      <c r="E63" s="3">
        <v>140</v>
      </c>
      <c r="G63">
        <f>VLOOKUP(A63,武将获取途径!$A:$D,2,0)</f>
        <v>600</v>
      </c>
    </row>
    <row r="64" spans="1:7" ht="15" x14ac:dyDescent="0.15">
      <c r="A64" s="1" t="s">
        <v>267</v>
      </c>
      <c r="B64" s="1">
        <v>2056</v>
      </c>
      <c r="C64" s="2" t="s">
        <v>182</v>
      </c>
      <c r="D64" s="3" t="s">
        <v>47</v>
      </c>
      <c r="E64" s="3">
        <v>1000</v>
      </c>
      <c r="G64">
        <f>VLOOKUP(A64,武将获取途径!$A:$D,2,0)</f>
        <v>1112</v>
      </c>
    </row>
    <row r="65" spans="1:7" ht="15" x14ac:dyDescent="0.15">
      <c r="A65" s="1" t="s">
        <v>269</v>
      </c>
      <c r="B65" s="1">
        <v>2053</v>
      </c>
      <c r="C65" s="2" t="s">
        <v>182</v>
      </c>
      <c r="D65" s="3" t="s">
        <v>270</v>
      </c>
      <c r="E65" s="3" t="s">
        <v>151</v>
      </c>
      <c r="G65" t="e">
        <f>VLOOKUP(A65,武将获取途径!$A:$D,2,0)</f>
        <v>#N/A</v>
      </c>
    </row>
    <row r="66" spans="1:7" ht="15" x14ac:dyDescent="0.15">
      <c r="A66" s="1" t="s">
        <v>272</v>
      </c>
      <c r="B66" s="1">
        <v>2049</v>
      </c>
      <c r="C66" s="2" t="s">
        <v>182</v>
      </c>
      <c r="D66" s="3" t="s">
        <v>831</v>
      </c>
      <c r="E66" s="3" t="s">
        <v>839</v>
      </c>
      <c r="G66">
        <f>VLOOKUP(A66,武将获取途径!$A:$D,2,0)</f>
        <v>210</v>
      </c>
    </row>
    <row r="67" spans="1:7" ht="15" x14ac:dyDescent="0.15">
      <c r="A67" s="12" t="s">
        <v>273</v>
      </c>
      <c r="B67" s="1">
        <v>2047</v>
      </c>
      <c r="C67" s="2" t="s">
        <v>182</v>
      </c>
      <c r="D67" s="3" t="s">
        <v>47</v>
      </c>
      <c r="E67" s="3" t="s">
        <v>151</v>
      </c>
      <c r="G67" t="e">
        <f>VLOOKUP(A67,武将获取途径!$A:$D,2,0)</f>
        <v>#N/A</v>
      </c>
    </row>
    <row r="68" spans="1:7" ht="15" x14ac:dyDescent="0.15">
      <c r="A68" s="1" t="s">
        <v>275</v>
      </c>
      <c r="B68" s="1">
        <v>2035</v>
      </c>
      <c r="C68" s="2" t="s">
        <v>182</v>
      </c>
      <c r="D68" s="3" t="s">
        <v>47</v>
      </c>
      <c r="E68" s="3">
        <v>60</v>
      </c>
      <c r="G68" t="e">
        <f>VLOOKUP(A68,武将获取途径!$A:$D,2,0)</f>
        <v>#N/A</v>
      </c>
    </row>
    <row r="69" spans="1:7" ht="15" x14ac:dyDescent="0.15">
      <c r="A69" s="1" t="s">
        <v>277</v>
      </c>
      <c r="B69" s="1">
        <v>2031</v>
      </c>
      <c r="C69" s="2" t="s">
        <v>182</v>
      </c>
      <c r="D69" s="3" t="s">
        <v>47</v>
      </c>
      <c r="E69" s="3">
        <v>1000</v>
      </c>
      <c r="G69" t="e">
        <f>VLOOKUP(A69,武将获取途径!$A:$D,2,0)</f>
        <v>#N/A</v>
      </c>
    </row>
    <row r="70" spans="1:7" ht="15" x14ac:dyDescent="0.15">
      <c r="A70" s="1" t="s">
        <v>278</v>
      </c>
      <c r="B70" s="1">
        <v>2031</v>
      </c>
      <c r="C70" s="2" t="s">
        <v>182</v>
      </c>
      <c r="D70" s="3" t="s">
        <v>279</v>
      </c>
      <c r="E70" s="3" t="s">
        <v>151</v>
      </c>
      <c r="G70" t="e">
        <f>VLOOKUP(A70,武将获取途径!$A:$D,2,0)</f>
        <v>#N/A</v>
      </c>
    </row>
    <row r="71" spans="1:7" ht="15" x14ac:dyDescent="0.15">
      <c r="A71" s="1" t="s">
        <v>280</v>
      </c>
      <c r="B71" s="1">
        <v>2030</v>
      </c>
      <c r="C71" s="2" t="s">
        <v>182</v>
      </c>
      <c r="D71" s="3" t="s">
        <v>47</v>
      </c>
      <c r="E71" s="3">
        <v>1500</v>
      </c>
      <c r="G71" t="e">
        <f>VLOOKUP(A71,武将获取途径!$A:$D,2,0)</f>
        <v>#N/A</v>
      </c>
    </row>
    <row r="72" spans="1:7" ht="15" x14ac:dyDescent="0.15">
      <c r="A72" s="12" t="s">
        <v>281</v>
      </c>
      <c r="B72" s="1">
        <v>2030</v>
      </c>
      <c r="C72" s="2" t="s">
        <v>182</v>
      </c>
      <c r="D72" s="3" t="s">
        <v>47</v>
      </c>
      <c r="E72" s="3" t="s">
        <v>151</v>
      </c>
      <c r="G72" t="e">
        <f>VLOOKUP(A72,武将获取途径!$A:$D,2,0)</f>
        <v>#N/A</v>
      </c>
    </row>
    <row r="73" spans="1:7" ht="15" x14ac:dyDescent="0.15">
      <c r="A73" s="12" t="s">
        <v>282</v>
      </c>
      <c r="B73" s="1">
        <v>2018</v>
      </c>
      <c r="C73" s="2" t="s">
        <v>182</v>
      </c>
      <c r="D73" s="3" t="s">
        <v>279</v>
      </c>
      <c r="E73" s="3" t="s">
        <v>151</v>
      </c>
      <c r="G73" t="e">
        <f>VLOOKUP(A73,武将获取途径!$A:$D,2,0)</f>
        <v>#N/A</v>
      </c>
    </row>
    <row r="74" spans="1:7" ht="15" x14ac:dyDescent="0.15">
      <c r="A74" s="1" t="s">
        <v>284</v>
      </c>
      <c r="B74" s="1">
        <v>2000</v>
      </c>
      <c r="C74" s="2" t="s">
        <v>182</v>
      </c>
      <c r="D74" s="3" t="s">
        <v>285</v>
      </c>
      <c r="E74" s="3" t="s">
        <v>838</v>
      </c>
      <c r="G74">
        <f>VLOOKUP(A74,武将获取途径!$A:$D,2,0)</f>
        <v>218</v>
      </c>
    </row>
    <row r="75" spans="1:7" ht="15" x14ac:dyDescent="0.15">
      <c r="A75" s="1" t="s">
        <v>307</v>
      </c>
      <c r="B75" s="1">
        <v>2000</v>
      </c>
      <c r="C75" s="2" t="s">
        <v>182</v>
      </c>
      <c r="D75" s="3" t="s">
        <v>47</v>
      </c>
      <c r="E75" s="3">
        <v>1000</v>
      </c>
      <c r="G75">
        <f>VLOOKUP(A75,武将获取途径!$A:$D,2,0)</f>
        <v>1955</v>
      </c>
    </row>
  </sheetData>
  <autoFilter ref="A1:E75" xr:uid="{00000000-0009-0000-0000-000005000000}"/>
  <phoneticPr fontId="21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46"/>
  <sheetViews>
    <sheetView workbookViewId="0">
      <selection activeCell="H29" sqref="H29"/>
    </sheetView>
  </sheetViews>
  <sheetFormatPr defaultColWidth="9" defaultRowHeight="13.5" x14ac:dyDescent="0.15"/>
  <cols>
    <col min="1" max="1" width="14.625" customWidth="1"/>
    <col min="2" max="2" width="7.375" customWidth="1"/>
    <col min="3" max="3" width="5.625" customWidth="1"/>
    <col min="4" max="4" width="13.75" customWidth="1"/>
    <col min="5" max="5" width="14.375" customWidth="1"/>
    <col min="6" max="6" width="3.25" customWidth="1"/>
    <col min="7" max="8" width="7.375" customWidth="1"/>
    <col min="9" max="9" width="5.625" customWidth="1"/>
    <col min="10" max="10" width="13.75" customWidth="1"/>
    <col min="11" max="11" width="5.375" customWidth="1"/>
    <col min="12" max="12" width="4.25" customWidth="1"/>
    <col min="13" max="13" width="8.875" customWidth="1"/>
    <col min="14" max="14" width="7.375" customWidth="1"/>
    <col min="15" max="15" width="5.625" customWidth="1"/>
    <col min="16" max="16" width="13.75" customWidth="1"/>
    <col min="17" max="17" width="6.375" customWidth="1"/>
    <col min="18" max="18" width="4.875" customWidth="1"/>
    <col min="19" max="19" width="3.375" customWidth="1"/>
    <col min="20" max="20" width="8.875" customWidth="1"/>
    <col min="21" max="21" width="5.375" customWidth="1"/>
    <col min="22" max="22" width="8.875" customWidth="1"/>
    <col min="23" max="23" width="4.875" customWidth="1"/>
    <col min="24" max="24" width="3.375" customWidth="1"/>
    <col min="25" max="25" width="8.875" customWidth="1"/>
    <col min="26" max="26" width="5.375" customWidth="1"/>
    <col min="27" max="27" width="7" customWidth="1"/>
    <col min="28" max="28" width="4.875" customWidth="1"/>
    <col min="29" max="29" width="3.375" customWidth="1"/>
    <col min="30" max="30" width="8.875" customWidth="1"/>
    <col min="31" max="31" width="6.375" customWidth="1"/>
  </cols>
  <sheetData>
    <row r="1" spans="1:17" s="13" customFormat="1" ht="14.25" x14ac:dyDescent="0.15">
      <c r="A1" s="14" t="s">
        <v>836</v>
      </c>
      <c r="B1" s="14" t="s">
        <v>837</v>
      </c>
      <c r="C1" s="15" t="s">
        <v>2</v>
      </c>
      <c r="D1" s="16" t="s">
        <v>3</v>
      </c>
      <c r="E1" s="14" t="s">
        <v>4</v>
      </c>
      <c r="F1" s="3"/>
      <c r="G1" s="14" t="s">
        <v>836</v>
      </c>
      <c r="H1" s="14" t="s">
        <v>837</v>
      </c>
      <c r="I1" s="15" t="s">
        <v>2</v>
      </c>
      <c r="J1" s="16" t="s">
        <v>3</v>
      </c>
      <c r="K1" s="14" t="s">
        <v>4</v>
      </c>
      <c r="M1" s="14" t="s">
        <v>836</v>
      </c>
      <c r="N1" s="14" t="s">
        <v>837</v>
      </c>
      <c r="O1" s="15" t="s">
        <v>2</v>
      </c>
      <c r="P1" s="16" t="s">
        <v>3</v>
      </c>
      <c r="Q1" s="14" t="s">
        <v>4</v>
      </c>
    </row>
    <row r="2" spans="1:17" ht="16.5" x14ac:dyDescent="0.15">
      <c r="A2" s="1" t="s">
        <v>183</v>
      </c>
      <c r="B2" s="1">
        <v>2194</v>
      </c>
      <c r="C2" s="2" t="s">
        <v>182</v>
      </c>
      <c r="D2" s="3" t="s">
        <v>270</v>
      </c>
      <c r="E2" s="3" t="s">
        <v>184</v>
      </c>
      <c r="F2" s="3"/>
      <c r="G2" s="6" t="s">
        <v>136</v>
      </c>
      <c r="H2" s="6">
        <v>2363</v>
      </c>
      <c r="I2" s="7" t="s">
        <v>121</v>
      </c>
      <c r="J2" s="3" t="s">
        <v>47</v>
      </c>
      <c r="K2" s="3">
        <v>1000</v>
      </c>
      <c r="M2" s="78" t="s">
        <v>853</v>
      </c>
      <c r="N2" s="8">
        <v>2743</v>
      </c>
      <c r="O2" s="9" t="s">
        <v>36</v>
      </c>
      <c r="P2" s="3" t="s">
        <v>47</v>
      </c>
      <c r="Q2" s="3">
        <v>2000</v>
      </c>
    </row>
    <row r="3" spans="1:17" ht="16.5" x14ac:dyDescent="0.15">
      <c r="A3" s="1" t="s">
        <v>261</v>
      </c>
      <c r="B3" s="1">
        <v>2064</v>
      </c>
      <c r="C3" s="2" t="s">
        <v>182</v>
      </c>
      <c r="D3" s="3" t="s">
        <v>47</v>
      </c>
      <c r="E3" s="3">
        <v>20</v>
      </c>
      <c r="F3" s="3"/>
      <c r="G3" s="76" t="s">
        <v>848</v>
      </c>
      <c r="H3" s="6">
        <v>2345</v>
      </c>
      <c r="I3" s="7" t="s">
        <v>121</v>
      </c>
      <c r="J3" s="3" t="s">
        <v>47</v>
      </c>
      <c r="K3" s="3">
        <v>1000</v>
      </c>
      <c r="M3" s="10" t="s">
        <v>84</v>
      </c>
      <c r="N3" s="10">
        <v>2560</v>
      </c>
      <c r="O3" s="11" t="s">
        <v>71</v>
      </c>
      <c r="P3" s="3" t="s">
        <v>47</v>
      </c>
      <c r="Q3" s="3">
        <v>2000</v>
      </c>
    </row>
    <row r="4" spans="1:17" ht="16.5" x14ac:dyDescent="0.15">
      <c r="A4" s="1" t="s">
        <v>275</v>
      </c>
      <c r="B4" s="1">
        <v>2035</v>
      </c>
      <c r="C4" s="2" t="s">
        <v>182</v>
      </c>
      <c r="D4" s="3" t="s">
        <v>47</v>
      </c>
      <c r="E4" s="3">
        <v>60</v>
      </c>
      <c r="F4" s="3"/>
      <c r="G4" s="76" t="s">
        <v>849</v>
      </c>
      <c r="H4" s="6">
        <v>2242</v>
      </c>
      <c r="I4" s="7" t="s">
        <v>121</v>
      </c>
      <c r="J4" s="3" t="s">
        <v>47</v>
      </c>
      <c r="K4" s="3">
        <v>1000</v>
      </c>
      <c r="M4" s="10" t="s">
        <v>100</v>
      </c>
      <c r="N4" s="10">
        <v>2502</v>
      </c>
      <c r="O4" s="11" t="s">
        <v>71</v>
      </c>
      <c r="P4" s="3" t="s">
        <v>47</v>
      </c>
      <c r="Q4" s="3">
        <v>2000</v>
      </c>
    </row>
    <row r="5" spans="1:17" ht="15" x14ac:dyDescent="0.15">
      <c r="A5" s="12" t="s">
        <v>273</v>
      </c>
      <c r="B5" s="1">
        <v>2047</v>
      </c>
      <c r="C5" s="2" t="s">
        <v>182</v>
      </c>
      <c r="D5" s="3" t="s">
        <v>47</v>
      </c>
      <c r="E5" s="3" t="s">
        <v>841</v>
      </c>
      <c r="F5" s="3"/>
      <c r="G5" s="1" t="s">
        <v>188</v>
      </c>
      <c r="H5" s="1">
        <v>2187</v>
      </c>
      <c r="I5" s="2" t="s">
        <v>182</v>
      </c>
      <c r="J5" s="3" t="s">
        <v>47</v>
      </c>
      <c r="K5" s="3">
        <v>1000</v>
      </c>
      <c r="M5" s="10" t="s">
        <v>106</v>
      </c>
      <c r="N5" s="10">
        <v>2494</v>
      </c>
      <c r="O5" s="11" t="s">
        <v>71</v>
      </c>
      <c r="P5" s="3" t="s">
        <v>47</v>
      </c>
      <c r="Q5" s="3">
        <v>2000</v>
      </c>
    </row>
    <row r="6" spans="1:17" ht="16.5" x14ac:dyDescent="0.15">
      <c r="A6" s="12" t="s">
        <v>281</v>
      </c>
      <c r="B6" s="1">
        <v>2030</v>
      </c>
      <c r="C6" s="2" t="s">
        <v>182</v>
      </c>
      <c r="D6" s="3" t="s">
        <v>47</v>
      </c>
      <c r="E6" s="3" t="s">
        <v>841</v>
      </c>
      <c r="F6" s="3"/>
      <c r="G6" s="1" t="s">
        <v>214</v>
      </c>
      <c r="H6" s="1">
        <v>2141</v>
      </c>
      <c r="I6" s="2" t="s">
        <v>182</v>
      </c>
      <c r="J6" s="3" t="s">
        <v>47</v>
      </c>
      <c r="K6" s="3">
        <v>1000</v>
      </c>
      <c r="M6" s="77" t="s">
        <v>854</v>
      </c>
      <c r="N6" s="10">
        <v>2466</v>
      </c>
      <c r="O6" s="11" t="s">
        <v>71</v>
      </c>
      <c r="P6" s="3" t="s">
        <v>47</v>
      </c>
      <c r="Q6" s="3">
        <v>2000</v>
      </c>
    </row>
    <row r="7" spans="1:17" ht="16.5" x14ac:dyDescent="0.15">
      <c r="A7" s="1" t="s">
        <v>266</v>
      </c>
      <c r="B7" s="1">
        <v>2059</v>
      </c>
      <c r="C7" s="2" t="s">
        <v>182</v>
      </c>
      <c r="D7" s="3" t="s">
        <v>47</v>
      </c>
      <c r="E7" s="3">
        <v>140</v>
      </c>
      <c r="F7" s="3"/>
      <c r="G7" s="73" t="s">
        <v>850</v>
      </c>
      <c r="H7" s="1">
        <v>2125</v>
      </c>
      <c r="I7" s="2" t="s">
        <v>182</v>
      </c>
      <c r="J7" s="3" t="s">
        <v>47</v>
      </c>
      <c r="K7" s="3">
        <v>1000</v>
      </c>
      <c r="M7" s="6" t="s">
        <v>130</v>
      </c>
      <c r="N7" s="6">
        <v>2378</v>
      </c>
      <c r="O7" s="7" t="s">
        <v>121</v>
      </c>
      <c r="P7" s="3" t="s">
        <v>47</v>
      </c>
      <c r="Q7" s="3">
        <v>2000</v>
      </c>
    </row>
    <row r="8" spans="1:17" ht="15" x14ac:dyDescent="0.15">
      <c r="A8" s="1" t="s">
        <v>215</v>
      </c>
      <c r="B8" s="1">
        <v>2140</v>
      </c>
      <c r="C8" s="2" t="s">
        <v>182</v>
      </c>
      <c r="D8" s="3" t="s">
        <v>47</v>
      </c>
      <c r="E8" s="3">
        <v>500</v>
      </c>
      <c r="F8" s="3"/>
      <c r="G8" s="12" t="s">
        <v>246</v>
      </c>
      <c r="H8" s="1">
        <v>2091</v>
      </c>
      <c r="I8" s="2" t="s">
        <v>182</v>
      </c>
      <c r="J8" s="3" t="s">
        <v>47</v>
      </c>
      <c r="K8" s="3">
        <v>1000</v>
      </c>
      <c r="M8" s="6" t="s">
        <v>158</v>
      </c>
      <c r="N8" s="6">
        <v>2321</v>
      </c>
      <c r="O8" s="7" t="s">
        <v>121</v>
      </c>
      <c r="P8" s="3" t="s">
        <v>47</v>
      </c>
      <c r="Q8" s="3">
        <v>2000</v>
      </c>
    </row>
    <row r="9" spans="1:17" ht="15" x14ac:dyDescent="0.15">
      <c r="A9" s="1" t="s">
        <v>253</v>
      </c>
      <c r="B9" s="1">
        <v>2077</v>
      </c>
      <c r="C9" s="2" t="s">
        <v>182</v>
      </c>
      <c r="D9" s="3" t="s">
        <v>47</v>
      </c>
      <c r="E9" s="3">
        <v>500</v>
      </c>
      <c r="F9" s="3"/>
      <c r="G9" s="1" t="s">
        <v>256</v>
      </c>
      <c r="H9" s="1">
        <v>2071</v>
      </c>
      <c r="I9" s="2" t="s">
        <v>182</v>
      </c>
      <c r="J9" s="3" t="s">
        <v>47</v>
      </c>
      <c r="K9" s="3">
        <v>1000</v>
      </c>
      <c r="M9" s="6" t="s">
        <v>170</v>
      </c>
      <c r="N9" s="6">
        <v>2286</v>
      </c>
      <c r="O9" s="7" t="s">
        <v>121</v>
      </c>
      <c r="P9" s="3" t="s">
        <v>47</v>
      </c>
      <c r="Q9" s="3">
        <v>2000</v>
      </c>
    </row>
    <row r="10" spans="1:17" ht="15" x14ac:dyDescent="0.15">
      <c r="A10" s="74" t="s">
        <v>844</v>
      </c>
      <c r="B10" s="3"/>
      <c r="C10" s="3"/>
      <c r="D10" s="3" t="s">
        <v>270</v>
      </c>
      <c r="G10" s="1" t="s">
        <v>259</v>
      </c>
      <c r="H10" s="1">
        <v>2065</v>
      </c>
      <c r="I10" s="2" t="s">
        <v>182</v>
      </c>
      <c r="J10" s="3" t="s">
        <v>47</v>
      </c>
      <c r="K10" s="3">
        <v>1000</v>
      </c>
      <c r="M10" s="6" t="s">
        <v>174</v>
      </c>
      <c r="N10" s="6">
        <v>2274</v>
      </c>
      <c r="O10" s="7" t="s">
        <v>121</v>
      </c>
      <c r="P10" s="3" t="s">
        <v>47</v>
      </c>
      <c r="Q10" s="3">
        <v>2000</v>
      </c>
    </row>
    <row r="11" spans="1:17" ht="15" x14ac:dyDescent="0.15">
      <c r="A11" s="3" t="s">
        <v>133</v>
      </c>
      <c r="B11" s="3"/>
      <c r="C11" s="3"/>
      <c r="D11" s="3" t="s">
        <v>270</v>
      </c>
      <c r="G11" s="1" t="s">
        <v>262</v>
      </c>
      <c r="H11" s="1">
        <v>2064</v>
      </c>
      <c r="I11" s="2" t="s">
        <v>182</v>
      </c>
      <c r="J11" s="3" t="s">
        <v>47</v>
      </c>
      <c r="K11" s="3">
        <v>1000</v>
      </c>
      <c r="M11" s="1" t="s">
        <v>186</v>
      </c>
      <c r="N11" s="1">
        <v>2193</v>
      </c>
      <c r="O11" s="2" t="s">
        <v>182</v>
      </c>
      <c r="P11" s="3" t="s">
        <v>47</v>
      </c>
      <c r="Q11" s="3">
        <v>2000</v>
      </c>
    </row>
    <row r="12" spans="1:17" ht="15" x14ac:dyDescent="0.15">
      <c r="G12" s="1" t="s">
        <v>277</v>
      </c>
      <c r="H12" s="1">
        <v>2031</v>
      </c>
      <c r="I12" s="2" t="s">
        <v>182</v>
      </c>
      <c r="J12" s="3" t="s">
        <v>47</v>
      </c>
      <c r="K12" s="3">
        <v>1000</v>
      </c>
      <c r="M12" s="1" t="s">
        <v>198</v>
      </c>
      <c r="N12" s="1">
        <v>2175</v>
      </c>
      <c r="O12" s="2" t="s">
        <v>182</v>
      </c>
      <c r="P12" s="3" t="s">
        <v>47</v>
      </c>
      <c r="Q12" s="3">
        <v>2000</v>
      </c>
    </row>
    <row r="13" spans="1:17" ht="15" x14ac:dyDescent="0.15">
      <c r="G13" s="1" t="s">
        <v>267</v>
      </c>
      <c r="H13" s="1">
        <v>2056</v>
      </c>
      <c r="I13" s="2" t="s">
        <v>182</v>
      </c>
      <c r="J13" s="3" t="s">
        <v>47</v>
      </c>
      <c r="K13" s="3">
        <v>1000</v>
      </c>
      <c r="M13" s="1" t="s">
        <v>207</v>
      </c>
      <c r="N13" s="1">
        <v>2159</v>
      </c>
      <c r="O13" s="2" t="s">
        <v>182</v>
      </c>
      <c r="P13" s="3" t="s">
        <v>47</v>
      </c>
      <c r="Q13" s="3">
        <v>2000</v>
      </c>
    </row>
    <row r="14" spans="1:17" ht="18.75" x14ac:dyDescent="0.15">
      <c r="A14" s="17" t="s">
        <v>842</v>
      </c>
      <c r="G14" s="1" t="s">
        <v>307</v>
      </c>
      <c r="H14" s="1">
        <v>2000</v>
      </c>
      <c r="I14" s="2" t="s">
        <v>182</v>
      </c>
      <c r="J14" s="3" t="s">
        <v>47</v>
      </c>
      <c r="K14" s="3">
        <v>1000</v>
      </c>
      <c r="M14" s="1" t="s">
        <v>220</v>
      </c>
      <c r="N14" s="1">
        <v>2131</v>
      </c>
      <c r="O14" s="2" t="s">
        <v>182</v>
      </c>
      <c r="P14" s="3" t="s">
        <v>47</v>
      </c>
      <c r="Q14" s="3">
        <v>2000</v>
      </c>
    </row>
    <row r="15" spans="1:17" ht="16.5" x14ac:dyDescent="0.15">
      <c r="A15" s="18" t="s">
        <v>328</v>
      </c>
      <c r="B15" s="19">
        <v>1987</v>
      </c>
      <c r="C15" s="20" t="s">
        <v>315</v>
      </c>
      <c r="D15" s="3" t="s">
        <v>279</v>
      </c>
      <c r="E15" s="3">
        <v>1</v>
      </c>
      <c r="F15" s="3"/>
      <c r="G15" s="77" t="s">
        <v>851</v>
      </c>
      <c r="H15" s="10">
        <v>2476</v>
      </c>
      <c r="I15" s="11" t="s">
        <v>71</v>
      </c>
      <c r="J15" s="3" t="s">
        <v>47</v>
      </c>
      <c r="K15" s="3">
        <v>1500</v>
      </c>
      <c r="M15" s="1" t="s">
        <v>233</v>
      </c>
      <c r="N15" s="1">
        <v>2115</v>
      </c>
      <c r="O15" s="2" t="s">
        <v>182</v>
      </c>
      <c r="P15" s="3" t="s">
        <v>47</v>
      </c>
      <c r="Q15" s="3">
        <v>2000</v>
      </c>
    </row>
    <row r="16" spans="1:17" ht="16.5" x14ac:dyDescent="0.15">
      <c r="A16" s="18" t="s">
        <v>335</v>
      </c>
      <c r="B16" s="19">
        <v>1978</v>
      </c>
      <c r="C16" s="20" t="s">
        <v>315</v>
      </c>
      <c r="D16" s="3" t="s">
        <v>279</v>
      </c>
      <c r="E16" s="3">
        <v>1</v>
      </c>
      <c r="F16" s="3"/>
      <c r="G16" s="76" t="s">
        <v>852</v>
      </c>
      <c r="H16" s="6">
        <v>2273</v>
      </c>
      <c r="I16" s="7" t="s">
        <v>121</v>
      </c>
      <c r="J16" s="3" t="s">
        <v>47</v>
      </c>
      <c r="K16" s="3">
        <v>1500</v>
      </c>
      <c r="M16" s="1" t="s">
        <v>235</v>
      </c>
      <c r="N16" s="1">
        <v>2113</v>
      </c>
      <c r="O16" s="2" t="s">
        <v>182</v>
      </c>
      <c r="P16" s="3" t="s">
        <v>47</v>
      </c>
      <c r="Q16" s="3">
        <v>2000</v>
      </c>
    </row>
    <row r="17" spans="1:17" ht="16.5" x14ac:dyDescent="0.15">
      <c r="A17" s="19" t="s">
        <v>343</v>
      </c>
      <c r="B17" s="19">
        <v>1965</v>
      </c>
      <c r="C17" s="20" t="s">
        <v>315</v>
      </c>
      <c r="D17" s="3" t="s">
        <v>279</v>
      </c>
      <c r="E17" s="3">
        <v>1</v>
      </c>
      <c r="F17" s="3"/>
      <c r="G17" s="1" t="s">
        <v>200</v>
      </c>
      <c r="H17" s="1">
        <v>2170</v>
      </c>
      <c r="I17" s="2" t="s">
        <v>182</v>
      </c>
      <c r="J17" s="3" t="s">
        <v>47</v>
      </c>
      <c r="K17" s="3">
        <v>1500</v>
      </c>
      <c r="M17" s="77" t="s">
        <v>855</v>
      </c>
      <c r="N17" s="10">
        <v>2496</v>
      </c>
      <c r="O17" s="11" t="s">
        <v>71</v>
      </c>
      <c r="P17" s="3" t="s">
        <v>47</v>
      </c>
      <c r="Q17" s="3">
        <v>3000</v>
      </c>
    </row>
    <row r="18" spans="1:17" ht="15" x14ac:dyDescent="0.15">
      <c r="A18" s="19" t="s">
        <v>344</v>
      </c>
      <c r="B18" s="19">
        <v>1956</v>
      </c>
      <c r="C18" s="20" t="s">
        <v>315</v>
      </c>
      <c r="D18" s="3" t="s">
        <v>279</v>
      </c>
      <c r="E18" s="3">
        <v>1</v>
      </c>
      <c r="F18" s="3"/>
      <c r="G18" s="1" t="s">
        <v>226</v>
      </c>
      <c r="H18" s="1">
        <v>2122</v>
      </c>
      <c r="I18" s="2" t="s">
        <v>182</v>
      </c>
      <c r="J18" s="3" t="s">
        <v>47</v>
      </c>
      <c r="K18" s="3">
        <v>1500</v>
      </c>
      <c r="M18" s="6" t="s">
        <v>139</v>
      </c>
      <c r="N18" s="6">
        <v>2353</v>
      </c>
      <c r="O18" s="7" t="s">
        <v>121</v>
      </c>
      <c r="P18" s="3" t="s">
        <v>47</v>
      </c>
      <c r="Q18" s="3">
        <v>3000</v>
      </c>
    </row>
    <row r="19" spans="1:17" ht="16.5" x14ac:dyDescent="0.15">
      <c r="A19" s="19" t="s">
        <v>352</v>
      </c>
      <c r="B19" s="19">
        <v>1940</v>
      </c>
      <c r="C19" s="20" t="s">
        <v>315</v>
      </c>
      <c r="D19" s="3" t="s">
        <v>279</v>
      </c>
      <c r="E19" s="3">
        <v>1</v>
      </c>
      <c r="F19" s="3"/>
      <c r="G19" s="1" t="s">
        <v>280</v>
      </c>
      <c r="H19" s="1">
        <v>2030</v>
      </c>
      <c r="I19" s="2" t="s">
        <v>182</v>
      </c>
      <c r="J19" s="3" t="s">
        <v>47</v>
      </c>
      <c r="K19" s="3">
        <v>1500</v>
      </c>
      <c r="M19" s="76" t="s">
        <v>856</v>
      </c>
      <c r="N19" s="6">
        <v>2329</v>
      </c>
      <c r="O19" s="7" t="s">
        <v>121</v>
      </c>
      <c r="P19" s="3" t="s">
        <v>47</v>
      </c>
      <c r="Q19" s="3">
        <v>3000</v>
      </c>
    </row>
    <row r="20" spans="1:17" ht="15" x14ac:dyDescent="0.15">
      <c r="A20" s="19" t="s">
        <v>359</v>
      </c>
      <c r="B20" s="19">
        <v>1914</v>
      </c>
      <c r="C20" s="20" t="s">
        <v>315</v>
      </c>
      <c r="D20" s="3" t="s">
        <v>279</v>
      </c>
      <c r="E20" s="3">
        <v>1</v>
      </c>
      <c r="F20" s="3"/>
      <c r="M20" s="1" t="s">
        <v>187</v>
      </c>
      <c r="N20" s="1">
        <v>2190</v>
      </c>
      <c r="O20" s="2" t="s">
        <v>182</v>
      </c>
      <c r="P20" s="3" t="s">
        <v>47</v>
      </c>
      <c r="Q20" s="3">
        <v>3000</v>
      </c>
    </row>
    <row r="21" spans="1:17" ht="15" x14ac:dyDescent="0.15">
      <c r="A21" s="19" t="s">
        <v>366</v>
      </c>
      <c r="B21" s="19">
        <v>1901</v>
      </c>
      <c r="C21" s="20" t="s">
        <v>315</v>
      </c>
      <c r="D21" s="3" t="s">
        <v>279</v>
      </c>
      <c r="E21" s="3">
        <v>1</v>
      </c>
      <c r="F21" s="3"/>
      <c r="M21" s="1" t="s">
        <v>193</v>
      </c>
      <c r="N21" s="1">
        <v>2178</v>
      </c>
      <c r="O21" s="2" t="s">
        <v>182</v>
      </c>
      <c r="P21" s="3" t="s">
        <v>47</v>
      </c>
      <c r="Q21" s="3">
        <v>3000</v>
      </c>
    </row>
    <row r="22" spans="1:17" ht="15" x14ac:dyDescent="0.15">
      <c r="A22" s="21" t="s">
        <v>387</v>
      </c>
      <c r="B22" s="21">
        <v>1796</v>
      </c>
      <c r="C22" s="22" t="s">
        <v>385</v>
      </c>
      <c r="D22" s="3" t="s">
        <v>279</v>
      </c>
      <c r="E22" s="3">
        <v>1</v>
      </c>
      <c r="F22" s="3"/>
      <c r="M22" s="1" t="s">
        <v>240</v>
      </c>
      <c r="N22" s="1">
        <v>2102</v>
      </c>
      <c r="O22" s="2" t="s">
        <v>182</v>
      </c>
      <c r="P22" s="3" t="s">
        <v>47</v>
      </c>
      <c r="Q22" s="3">
        <v>3000</v>
      </c>
    </row>
    <row r="23" spans="1:17" ht="15" x14ac:dyDescent="0.15">
      <c r="A23" s="21" t="s">
        <v>393</v>
      </c>
      <c r="B23" s="21">
        <v>1790</v>
      </c>
      <c r="C23" s="22" t="s">
        <v>385</v>
      </c>
      <c r="D23" s="3" t="s">
        <v>279</v>
      </c>
      <c r="E23" s="3">
        <v>1</v>
      </c>
      <c r="F23" s="3"/>
      <c r="M23" s="10" t="s">
        <v>104</v>
      </c>
      <c r="N23" s="10">
        <v>2498</v>
      </c>
      <c r="O23" s="11" t="s">
        <v>71</v>
      </c>
      <c r="P23" s="3" t="s">
        <v>47</v>
      </c>
      <c r="Q23" s="3">
        <v>5000</v>
      </c>
    </row>
    <row r="24" spans="1:17" ht="16.5" x14ac:dyDescent="0.15">
      <c r="A24" s="21" t="s">
        <v>444</v>
      </c>
      <c r="B24" s="21">
        <v>1726</v>
      </c>
      <c r="C24" s="22" t="s">
        <v>385</v>
      </c>
      <c r="D24" s="3" t="s">
        <v>279</v>
      </c>
      <c r="E24" s="3">
        <v>1</v>
      </c>
      <c r="F24" s="3"/>
      <c r="M24" s="76" t="s">
        <v>857</v>
      </c>
      <c r="N24" s="6">
        <v>2280</v>
      </c>
      <c r="O24" s="7" t="s">
        <v>121</v>
      </c>
      <c r="P24" s="3" t="s">
        <v>47</v>
      </c>
      <c r="Q24" s="3">
        <v>5000</v>
      </c>
    </row>
    <row r="25" spans="1:17" ht="16.5" x14ac:dyDescent="0.15">
      <c r="A25" s="21" t="s">
        <v>445</v>
      </c>
      <c r="B25" s="21">
        <v>1725</v>
      </c>
      <c r="C25" s="22" t="s">
        <v>385</v>
      </c>
      <c r="D25" s="3" t="s">
        <v>279</v>
      </c>
      <c r="E25" s="3">
        <v>1</v>
      </c>
      <c r="F25" s="3"/>
      <c r="M25" s="77" t="s">
        <v>858</v>
      </c>
      <c r="N25" s="10">
        <v>2591</v>
      </c>
      <c r="O25" s="11" t="s">
        <v>71</v>
      </c>
      <c r="P25" s="3" t="s">
        <v>47</v>
      </c>
      <c r="Q25" s="3">
        <v>6000</v>
      </c>
    </row>
    <row r="26" spans="1:17" ht="15" x14ac:dyDescent="0.15">
      <c r="A26" s="23" t="s">
        <v>520</v>
      </c>
      <c r="B26" s="23">
        <v>1559</v>
      </c>
      <c r="C26" s="24" t="s">
        <v>480</v>
      </c>
      <c r="D26" s="3" t="s">
        <v>279</v>
      </c>
      <c r="E26" s="3">
        <v>1</v>
      </c>
      <c r="F26" s="3"/>
      <c r="M26" s="6" t="s">
        <v>147</v>
      </c>
      <c r="N26" s="6">
        <v>2337</v>
      </c>
      <c r="O26" s="7" t="s">
        <v>121</v>
      </c>
      <c r="P26" s="3" t="s">
        <v>47</v>
      </c>
      <c r="Q26" s="3">
        <v>6000</v>
      </c>
    </row>
    <row r="27" spans="1:17" ht="16.5" x14ac:dyDescent="0.15">
      <c r="A27" s="23" t="s">
        <v>551</v>
      </c>
      <c r="B27" s="23">
        <v>1519</v>
      </c>
      <c r="C27" s="24" t="s">
        <v>480</v>
      </c>
      <c r="D27" s="3" t="s">
        <v>830</v>
      </c>
      <c r="E27" s="3">
        <v>1</v>
      </c>
      <c r="F27" s="3"/>
      <c r="M27" s="76" t="s">
        <v>859</v>
      </c>
      <c r="N27" s="6">
        <v>2276</v>
      </c>
      <c r="O27" s="7" t="s">
        <v>121</v>
      </c>
      <c r="P27" s="3" t="s">
        <v>47</v>
      </c>
      <c r="Q27" s="3">
        <v>6000</v>
      </c>
    </row>
    <row r="28" spans="1:17" ht="15" x14ac:dyDescent="0.15">
      <c r="A28" s="23" t="s">
        <v>567</v>
      </c>
      <c r="B28" s="23">
        <v>1492</v>
      </c>
      <c r="C28" s="24" t="s">
        <v>480</v>
      </c>
      <c r="D28" s="3" t="s">
        <v>279</v>
      </c>
      <c r="E28" s="3">
        <v>1</v>
      </c>
      <c r="F28" s="3"/>
      <c r="M28" s="8" t="s">
        <v>58</v>
      </c>
      <c r="N28" s="8">
        <v>2700</v>
      </c>
      <c r="O28" s="9" t="s">
        <v>36</v>
      </c>
      <c r="P28" s="3" t="s">
        <v>47</v>
      </c>
      <c r="Q28" s="3">
        <v>10000</v>
      </c>
    </row>
    <row r="29" spans="1:17" ht="15" x14ac:dyDescent="0.15">
      <c r="A29" s="25" t="s">
        <v>611</v>
      </c>
      <c r="B29" s="25">
        <v>1390</v>
      </c>
      <c r="C29" s="26" t="s">
        <v>601</v>
      </c>
      <c r="D29" s="3" t="s">
        <v>279</v>
      </c>
      <c r="E29" s="3">
        <v>1</v>
      </c>
      <c r="F29" s="3"/>
      <c r="M29" s="10" t="s">
        <v>90</v>
      </c>
      <c r="N29" s="10">
        <v>2544</v>
      </c>
      <c r="O29" s="11" t="s">
        <v>71</v>
      </c>
      <c r="P29" s="3" t="s">
        <v>47</v>
      </c>
      <c r="Q29" s="3">
        <v>10000</v>
      </c>
    </row>
    <row r="30" spans="1:17" ht="15" x14ac:dyDescent="0.15">
      <c r="A30" s="25" t="s">
        <v>622</v>
      </c>
      <c r="B30" s="25">
        <v>1372</v>
      </c>
      <c r="C30" s="26" t="s">
        <v>601</v>
      </c>
      <c r="D30" s="3" t="s">
        <v>279</v>
      </c>
      <c r="E30" s="3">
        <v>1</v>
      </c>
      <c r="F30" s="3"/>
      <c r="M30" s="6" t="s">
        <v>146</v>
      </c>
      <c r="N30" s="6">
        <v>2342</v>
      </c>
      <c r="O30" s="7" t="s">
        <v>121</v>
      </c>
      <c r="P30" s="3" t="s">
        <v>47</v>
      </c>
      <c r="Q30" s="3">
        <v>10000</v>
      </c>
    </row>
    <row r="31" spans="1:17" ht="15" x14ac:dyDescent="0.15">
      <c r="F31" s="3"/>
      <c r="M31" s="6" t="s">
        <v>169</v>
      </c>
      <c r="N31" s="6">
        <v>2286</v>
      </c>
      <c r="O31" s="7" t="s">
        <v>121</v>
      </c>
      <c r="P31" s="3" t="s">
        <v>47</v>
      </c>
      <c r="Q31" s="3">
        <v>10000</v>
      </c>
    </row>
    <row r="32" spans="1:17" ht="15" x14ac:dyDescent="0.15">
      <c r="M32" s="1" t="s">
        <v>217</v>
      </c>
      <c r="N32" s="1">
        <v>2139</v>
      </c>
      <c r="O32" s="2" t="s">
        <v>182</v>
      </c>
      <c r="P32" s="3" t="s">
        <v>47</v>
      </c>
      <c r="Q32" s="3">
        <v>10000</v>
      </c>
    </row>
    <row r="34" spans="1:6" ht="15" x14ac:dyDescent="0.15">
      <c r="A34" s="1" t="s">
        <v>219</v>
      </c>
      <c r="B34" s="1">
        <v>2133</v>
      </c>
      <c r="C34" s="2" t="s">
        <v>182</v>
      </c>
      <c r="D34" s="3" t="s">
        <v>829</v>
      </c>
      <c r="E34" s="3" t="s">
        <v>840</v>
      </c>
      <c r="F34" t="s">
        <v>184</v>
      </c>
    </row>
    <row r="35" spans="1:6" ht="15" x14ac:dyDescent="0.15">
      <c r="A35" s="1" t="s">
        <v>216</v>
      </c>
      <c r="B35" s="1">
        <v>2140</v>
      </c>
      <c r="C35" s="2" t="s">
        <v>182</v>
      </c>
      <c r="D35" s="3" t="s">
        <v>831</v>
      </c>
      <c r="E35" s="3" t="s">
        <v>839</v>
      </c>
      <c r="F35" t="s">
        <v>184</v>
      </c>
    </row>
    <row r="36" spans="1:6" ht="15" x14ac:dyDescent="0.15">
      <c r="A36" s="1" t="s">
        <v>195</v>
      </c>
      <c r="B36" s="1">
        <v>2176</v>
      </c>
      <c r="C36" s="2" t="s">
        <v>182</v>
      </c>
      <c r="D36" s="3" t="s">
        <v>150</v>
      </c>
      <c r="E36" s="3" t="s">
        <v>151</v>
      </c>
    </row>
    <row r="37" spans="1:6" ht="15" x14ac:dyDescent="0.15">
      <c r="A37" s="12" t="s">
        <v>213</v>
      </c>
      <c r="B37" s="1">
        <v>2144</v>
      </c>
      <c r="C37" s="2" t="s">
        <v>182</v>
      </c>
      <c r="D37" s="3" t="s">
        <v>150</v>
      </c>
      <c r="E37" s="3" t="s">
        <v>151</v>
      </c>
    </row>
    <row r="38" spans="1:6" ht="15" x14ac:dyDescent="0.15">
      <c r="A38" s="1" t="s">
        <v>231</v>
      </c>
      <c r="B38" s="1">
        <v>2115</v>
      </c>
      <c r="C38" s="2" t="s">
        <v>182</v>
      </c>
      <c r="D38" s="3" t="s">
        <v>150</v>
      </c>
      <c r="E38" s="3" t="s">
        <v>232</v>
      </c>
    </row>
    <row r="39" spans="1:6" ht="15" x14ac:dyDescent="0.15">
      <c r="A39" s="1" t="s">
        <v>245</v>
      </c>
      <c r="B39" s="1">
        <v>2095</v>
      </c>
      <c r="C39" s="2" t="s">
        <v>182</v>
      </c>
      <c r="D39" s="3" t="s">
        <v>150</v>
      </c>
      <c r="E39" s="3" t="s">
        <v>839</v>
      </c>
    </row>
    <row r="40" spans="1:6" ht="15" x14ac:dyDescent="0.15">
      <c r="A40" s="1" t="s">
        <v>248</v>
      </c>
      <c r="B40" s="1">
        <v>2090</v>
      </c>
      <c r="C40" s="2" t="s">
        <v>182</v>
      </c>
      <c r="D40" s="3" t="s">
        <v>150</v>
      </c>
      <c r="E40" s="3" t="s">
        <v>151</v>
      </c>
    </row>
    <row r="41" spans="1:6" ht="15" x14ac:dyDescent="0.15">
      <c r="A41" s="12" t="s">
        <v>249</v>
      </c>
      <c r="B41" s="1">
        <v>2090</v>
      </c>
      <c r="C41" s="2" t="s">
        <v>182</v>
      </c>
      <c r="D41" s="3" t="s">
        <v>150</v>
      </c>
      <c r="E41" s="3" t="s">
        <v>232</v>
      </c>
    </row>
    <row r="42" spans="1:6" ht="15" x14ac:dyDescent="0.15">
      <c r="A42" s="12" t="s">
        <v>251</v>
      </c>
      <c r="B42" s="1">
        <v>2080</v>
      </c>
      <c r="C42" s="2" t="s">
        <v>182</v>
      </c>
      <c r="D42" s="3" t="s">
        <v>150</v>
      </c>
      <c r="E42" s="3" t="s">
        <v>252</v>
      </c>
    </row>
    <row r="43" spans="1:6" ht="15" x14ac:dyDescent="0.15">
      <c r="A43" s="1" t="s">
        <v>265</v>
      </c>
      <c r="B43" s="1">
        <v>2061</v>
      </c>
      <c r="C43" s="2" t="s">
        <v>182</v>
      </c>
      <c r="D43" s="3" t="s">
        <v>150</v>
      </c>
      <c r="E43" s="3" t="s">
        <v>151</v>
      </c>
    </row>
    <row r="44" spans="1:6" ht="15" x14ac:dyDescent="0.15">
      <c r="A44" s="1" t="s">
        <v>269</v>
      </c>
      <c r="B44" s="1">
        <v>2053</v>
      </c>
      <c r="C44" s="2" t="s">
        <v>182</v>
      </c>
      <c r="D44" s="3" t="s">
        <v>270</v>
      </c>
      <c r="E44" s="3" t="s">
        <v>151</v>
      </c>
    </row>
    <row r="45" spans="1:6" ht="15" x14ac:dyDescent="0.15">
      <c r="A45" s="1" t="s">
        <v>272</v>
      </c>
      <c r="B45" s="1">
        <v>2049</v>
      </c>
      <c r="C45" s="2" t="s">
        <v>182</v>
      </c>
      <c r="D45" s="3" t="s">
        <v>831</v>
      </c>
      <c r="E45" s="3" t="s">
        <v>839</v>
      </c>
    </row>
    <row r="46" spans="1:6" ht="15" x14ac:dyDescent="0.15">
      <c r="A46" s="12" t="s">
        <v>273</v>
      </c>
      <c r="B46" s="1">
        <v>2047</v>
      </c>
      <c r="C46" s="2" t="s">
        <v>182</v>
      </c>
      <c r="D46" s="3" t="s">
        <v>47</v>
      </c>
      <c r="E46" s="3" t="s">
        <v>151</v>
      </c>
    </row>
  </sheetData>
  <phoneticPr fontId="21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/>
  <dimension ref="A1:AD74"/>
  <sheetViews>
    <sheetView workbookViewId="0">
      <selection activeCell="E33" sqref="E33"/>
    </sheetView>
  </sheetViews>
  <sheetFormatPr defaultColWidth="9" defaultRowHeight="13.5" x14ac:dyDescent="0.15"/>
  <cols>
    <col min="1" max="1" width="7" customWidth="1"/>
    <col min="2" max="2" width="4.875" customWidth="1"/>
    <col min="3" max="3" width="3.375" customWidth="1"/>
    <col min="4" max="4" width="8.875" customWidth="1"/>
    <col min="5" max="5" width="14.375" customWidth="1"/>
    <col min="6" max="6" width="7.125" customWidth="1"/>
    <col min="7" max="7" width="4.875" customWidth="1"/>
    <col min="8" max="8" width="3.375" customWidth="1"/>
    <col min="9" max="9" width="8.875" customWidth="1"/>
    <col min="10" max="10" width="5.375" customWidth="1"/>
    <col min="11" max="11" width="10.875" customWidth="1"/>
    <col min="12" max="12" width="7" customWidth="1"/>
    <col min="13" max="13" width="5.375" customWidth="1"/>
    <col min="14" max="14" width="12.875" customWidth="1"/>
    <col min="15" max="15" width="13.125" customWidth="1"/>
    <col min="16" max="16" width="5.125" customWidth="1"/>
    <col min="17" max="17" width="4.875" customWidth="1"/>
    <col min="18" max="18" width="3.375" customWidth="1"/>
    <col min="19" max="19" width="8.875" customWidth="1"/>
    <col min="20" max="20" width="5.375" customWidth="1"/>
    <col min="21" max="21" width="8.875" customWidth="1"/>
    <col min="22" max="22" width="4.875" customWidth="1"/>
    <col min="23" max="23" width="3.375" customWidth="1"/>
    <col min="24" max="24" width="8.875" customWidth="1"/>
    <col min="25" max="25" width="5.375" customWidth="1"/>
    <col min="26" max="26" width="7" customWidth="1"/>
    <col min="27" max="27" width="4.875" customWidth="1"/>
    <col min="28" max="28" width="3.375" customWidth="1"/>
    <col min="29" max="29" width="8.875" customWidth="1"/>
    <col min="30" max="30" width="6.375" customWidth="1"/>
  </cols>
  <sheetData>
    <row r="1" spans="1:30" ht="15" x14ac:dyDescent="0.15">
      <c r="A1" s="1" t="s">
        <v>183</v>
      </c>
      <c r="B1" s="1">
        <v>2194</v>
      </c>
      <c r="C1" s="2" t="s">
        <v>182</v>
      </c>
      <c r="D1" s="3" t="s">
        <v>270</v>
      </c>
      <c r="E1" s="3" t="s">
        <v>184</v>
      </c>
      <c r="K1" s="4" t="s">
        <v>836</v>
      </c>
      <c r="L1" s="4" t="s">
        <v>837</v>
      </c>
      <c r="M1" s="5" t="s">
        <v>2</v>
      </c>
      <c r="N1" s="3" t="s">
        <v>3</v>
      </c>
      <c r="O1" s="3" t="s">
        <v>4</v>
      </c>
    </row>
    <row r="2" spans="1:30" ht="15" x14ac:dyDescent="0.15">
      <c r="A2" s="1" t="s">
        <v>261</v>
      </c>
      <c r="B2" s="1">
        <v>2064</v>
      </c>
      <c r="C2" s="2" t="s">
        <v>182</v>
      </c>
      <c r="D2" s="3" t="s">
        <v>47</v>
      </c>
      <c r="E2" s="3">
        <v>20</v>
      </c>
      <c r="F2" s="6" t="s">
        <v>136</v>
      </c>
      <c r="G2" s="6">
        <v>2363</v>
      </c>
      <c r="H2" s="7" t="s">
        <v>121</v>
      </c>
      <c r="I2" s="3" t="s">
        <v>47</v>
      </c>
      <c r="J2" s="3">
        <v>1000</v>
      </c>
      <c r="K2" s="8" t="s">
        <v>46</v>
      </c>
      <c r="L2" s="8">
        <v>2743</v>
      </c>
      <c r="M2" s="9" t="s">
        <v>36</v>
      </c>
      <c r="N2" s="3" t="s">
        <v>47</v>
      </c>
      <c r="O2" s="3">
        <v>2000</v>
      </c>
    </row>
    <row r="3" spans="1:30" ht="15" x14ac:dyDescent="0.15">
      <c r="A3" s="1" t="s">
        <v>275</v>
      </c>
      <c r="B3" s="1">
        <v>2035</v>
      </c>
      <c r="C3" s="2" t="s">
        <v>182</v>
      </c>
      <c r="D3" s="3" t="s">
        <v>47</v>
      </c>
      <c r="E3" s="3">
        <v>60</v>
      </c>
      <c r="F3" s="6" t="s">
        <v>144</v>
      </c>
      <c r="G3" s="6">
        <v>2345</v>
      </c>
      <c r="H3" s="7" t="s">
        <v>121</v>
      </c>
      <c r="I3" s="3" t="s">
        <v>47</v>
      </c>
      <c r="J3" s="3">
        <v>1000</v>
      </c>
      <c r="K3" s="10" t="s">
        <v>84</v>
      </c>
      <c r="L3" s="10">
        <v>2560</v>
      </c>
      <c r="M3" s="11" t="s">
        <v>71</v>
      </c>
      <c r="N3" s="3" t="s">
        <v>47</v>
      </c>
      <c r="O3" s="3">
        <v>2000</v>
      </c>
      <c r="Z3" s="8" t="s">
        <v>58</v>
      </c>
      <c r="AA3" s="8">
        <v>2700</v>
      </c>
      <c r="AB3" s="9" t="s">
        <v>36</v>
      </c>
      <c r="AC3" s="3" t="s">
        <v>47</v>
      </c>
      <c r="AD3" s="3">
        <v>10000</v>
      </c>
    </row>
    <row r="4" spans="1:30" ht="15" x14ac:dyDescent="0.15">
      <c r="A4" s="12" t="s">
        <v>273</v>
      </c>
      <c r="B4" s="1">
        <v>2047</v>
      </c>
      <c r="C4" s="2" t="s">
        <v>182</v>
      </c>
      <c r="D4" s="3" t="s">
        <v>47</v>
      </c>
      <c r="E4" s="3" t="s">
        <v>841</v>
      </c>
      <c r="F4" s="6" t="s">
        <v>176</v>
      </c>
      <c r="G4" s="6">
        <v>2242</v>
      </c>
      <c r="H4" s="7" t="s">
        <v>121</v>
      </c>
      <c r="I4" s="3" t="s">
        <v>47</v>
      </c>
      <c r="J4" s="3">
        <v>1000</v>
      </c>
      <c r="K4" s="10" t="s">
        <v>100</v>
      </c>
      <c r="L4" s="10">
        <v>2502</v>
      </c>
      <c r="M4" s="11" t="s">
        <v>71</v>
      </c>
      <c r="N4" s="3" t="s">
        <v>47</v>
      </c>
      <c r="O4" s="3">
        <v>2000</v>
      </c>
      <c r="P4" s="10" t="s">
        <v>104</v>
      </c>
      <c r="Q4" s="10">
        <v>2498</v>
      </c>
      <c r="R4" s="11" t="s">
        <v>71</v>
      </c>
      <c r="S4" s="3" t="s">
        <v>47</v>
      </c>
      <c r="T4" s="3">
        <v>5000</v>
      </c>
      <c r="U4" s="10" t="s">
        <v>70</v>
      </c>
      <c r="V4" s="10">
        <v>2591</v>
      </c>
      <c r="W4" s="11" t="s">
        <v>71</v>
      </c>
      <c r="X4" s="3" t="s">
        <v>47</v>
      </c>
      <c r="Y4" s="3">
        <v>6000</v>
      </c>
      <c r="Z4" s="10" t="s">
        <v>90</v>
      </c>
      <c r="AA4" s="10">
        <v>2544</v>
      </c>
      <c r="AB4" s="11" t="s">
        <v>71</v>
      </c>
      <c r="AC4" s="3" t="s">
        <v>47</v>
      </c>
      <c r="AD4" s="3">
        <v>10000</v>
      </c>
    </row>
    <row r="5" spans="1:30" ht="15" x14ac:dyDescent="0.15">
      <c r="A5" s="12" t="s">
        <v>281</v>
      </c>
      <c r="B5" s="1">
        <v>2030</v>
      </c>
      <c r="C5" s="2" t="s">
        <v>182</v>
      </c>
      <c r="D5" s="3" t="s">
        <v>47</v>
      </c>
      <c r="E5" s="3" t="s">
        <v>841</v>
      </c>
      <c r="F5" s="1" t="s">
        <v>188</v>
      </c>
      <c r="G5" s="1">
        <v>2187</v>
      </c>
      <c r="H5" s="2" t="s">
        <v>182</v>
      </c>
      <c r="I5" s="3" t="s">
        <v>47</v>
      </c>
      <c r="J5" s="3">
        <v>1000</v>
      </c>
      <c r="K5" s="10" t="s">
        <v>106</v>
      </c>
      <c r="L5" s="10">
        <v>2494</v>
      </c>
      <c r="M5" s="11" t="s">
        <v>71</v>
      </c>
      <c r="N5" s="3" t="s">
        <v>47</v>
      </c>
      <c r="O5" s="3">
        <v>2000</v>
      </c>
      <c r="P5" s="6" t="s">
        <v>171</v>
      </c>
      <c r="Q5" s="6">
        <v>2280</v>
      </c>
      <c r="R5" s="7" t="s">
        <v>121</v>
      </c>
      <c r="S5" s="3" t="s">
        <v>47</v>
      </c>
      <c r="T5" s="3">
        <v>5000</v>
      </c>
      <c r="U5" s="6" t="s">
        <v>147</v>
      </c>
      <c r="V5" s="6">
        <v>2337</v>
      </c>
      <c r="W5" s="7" t="s">
        <v>121</v>
      </c>
      <c r="X5" s="3" t="s">
        <v>47</v>
      </c>
      <c r="Y5" s="3">
        <v>6000</v>
      </c>
      <c r="Z5" s="6" t="s">
        <v>146</v>
      </c>
      <c r="AA5" s="6">
        <v>2342</v>
      </c>
      <c r="AB5" s="7" t="s">
        <v>121</v>
      </c>
      <c r="AC5" s="3" t="s">
        <v>47</v>
      </c>
      <c r="AD5" s="3">
        <v>10000</v>
      </c>
    </row>
    <row r="6" spans="1:30" ht="15" x14ac:dyDescent="0.15">
      <c r="A6" s="1" t="s">
        <v>266</v>
      </c>
      <c r="B6" s="1">
        <v>2059</v>
      </c>
      <c r="C6" s="2" t="s">
        <v>182</v>
      </c>
      <c r="D6" s="3" t="s">
        <v>47</v>
      </c>
      <c r="E6" s="3">
        <v>140</v>
      </c>
      <c r="F6" s="1" t="s">
        <v>214</v>
      </c>
      <c r="G6" s="1">
        <v>2141</v>
      </c>
      <c r="H6" s="2" t="s">
        <v>182</v>
      </c>
      <c r="I6" s="3" t="s">
        <v>47</v>
      </c>
      <c r="J6" s="3">
        <v>1000</v>
      </c>
      <c r="K6" s="10" t="s">
        <v>115</v>
      </c>
      <c r="L6" s="10">
        <v>2466</v>
      </c>
      <c r="M6" s="11" t="s">
        <v>71</v>
      </c>
      <c r="N6" s="3" t="s">
        <v>47</v>
      </c>
      <c r="O6" s="3">
        <v>2000</v>
      </c>
      <c r="U6" s="6" t="s">
        <v>173</v>
      </c>
      <c r="V6" s="6">
        <v>2276</v>
      </c>
      <c r="W6" s="7" t="s">
        <v>121</v>
      </c>
      <c r="X6" s="3" t="s">
        <v>47</v>
      </c>
      <c r="Y6" s="3">
        <v>6000</v>
      </c>
      <c r="Z6" s="6" t="s">
        <v>169</v>
      </c>
      <c r="AA6" s="6">
        <v>2286</v>
      </c>
      <c r="AB6" s="7" t="s">
        <v>121</v>
      </c>
      <c r="AC6" s="3" t="s">
        <v>47</v>
      </c>
      <c r="AD6" s="3">
        <v>10000</v>
      </c>
    </row>
    <row r="7" spans="1:30" ht="15" x14ac:dyDescent="0.15">
      <c r="F7" s="1" t="s">
        <v>223</v>
      </c>
      <c r="G7" s="1">
        <v>2125</v>
      </c>
      <c r="H7" s="2" t="s">
        <v>182</v>
      </c>
      <c r="I7" s="3" t="s">
        <v>47</v>
      </c>
      <c r="J7" s="3">
        <v>1000</v>
      </c>
      <c r="K7" s="6" t="s">
        <v>130</v>
      </c>
      <c r="L7" s="6">
        <v>2378</v>
      </c>
      <c r="M7" s="7" t="s">
        <v>121</v>
      </c>
      <c r="N7" s="3" t="s">
        <v>47</v>
      </c>
      <c r="O7" s="3">
        <v>2000</v>
      </c>
      <c r="Z7" s="1" t="s">
        <v>217</v>
      </c>
      <c r="AA7" s="1">
        <v>2139</v>
      </c>
      <c r="AB7" s="2" t="s">
        <v>182</v>
      </c>
      <c r="AC7" s="3" t="s">
        <v>47</v>
      </c>
      <c r="AD7" s="3">
        <v>10000</v>
      </c>
    </row>
    <row r="8" spans="1:30" ht="15" hidden="1" x14ac:dyDescent="0.15">
      <c r="K8" s="10" t="s">
        <v>101</v>
      </c>
      <c r="L8" s="10">
        <v>2500</v>
      </c>
      <c r="M8" s="11" t="s">
        <v>71</v>
      </c>
      <c r="N8" s="3" t="s">
        <v>833</v>
      </c>
      <c r="O8" s="3" t="s">
        <v>838</v>
      </c>
    </row>
    <row r="9" spans="1:30" ht="15" x14ac:dyDescent="0.15">
      <c r="F9" s="12" t="s">
        <v>246</v>
      </c>
      <c r="G9" s="1">
        <v>2091</v>
      </c>
      <c r="H9" s="2" t="s">
        <v>182</v>
      </c>
      <c r="I9" s="3" t="s">
        <v>47</v>
      </c>
      <c r="J9" s="3">
        <v>1000</v>
      </c>
      <c r="K9" s="6" t="s">
        <v>158</v>
      </c>
      <c r="L9" s="6">
        <v>2321</v>
      </c>
      <c r="M9" s="7" t="s">
        <v>121</v>
      </c>
      <c r="N9" s="3" t="s">
        <v>47</v>
      </c>
      <c r="O9" s="3">
        <v>2000</v>
      </c>
    </row>
    <row r="10" spans="1:30" ht="15" x14ac:dyDescent="0.15">
      <c r="F10" s="1" t="s">
        <v>256</v>
      </c>
      <c r="G10" s="1">
        <v>2071</v>
      </c>
      <c r="H10" s="2" t="s">
        <v>182</v>
      </c>
      <c r="I10" s="3" t="s">
        <v>47</v>
      </c>
      <c r="J10" s="3">
        <v>1000</v>
      </c>
      <c r="K10" s="6" t="s">
        <v>170</v>
      </c>
      <c r="L10" s="6">
        <v>2286</v>
      </c>
      <c r="M10" s="7" t="s">
        <v>121</v>
      </c>
      <c r="N10" s="3" t="s">
        <v>47</v>
      </c>
      <c r="O10" s="3">
        <v>2000</v>
      </c>
    </row>
    <row r="11" spans="1:30" ht="15" x14ac:dyDescent="0.15">
      <c r="A11" s="1" t="s">
        <v>215</v>
      </c>
      <c r="B11" s="1">
        <v>2140</v>
      </c>
      <c r="C11" s="2" t="s">
        <v>182</v>
      </c>
      <c r="D11" s="3" t="s">
        <v>47</v>
      </c>
      <c r="E11" s="3">
        <v>500</v>
      </c>
      <c r="F11" s="1" t="s">
        <v>259</v>
      </c>
      <c r="G11" s="1">
        <v>2065</v>
      </c>
      <c r="H11" s="2" t="s">
        <v>182</v>
      </c>
      <c r="I11" s="3" t="s">
        <v>47</v>
      </c>
      <c r="J11" s="3">
        <v>1000</v>
      </c>
      <c r="K11" s="6" t="s">
        <v>174</v>
      </c>
      <c r="L11" s="6">
        <v>2274</v>
      </c>
      <c r="M11" s="7" t="s">
        <v>121</v>
      </c>
      <c r="N11" s="3" t="s">
        <v>47</v>
      </c>
      <c r="O11" s="3">
        <v>2000</v>
      </c>
    </row>
    <row r="12" spans="1:30" ht="15" x14ac:dyDescent="0.15">
      <c r="A12" s="1" t="s">
        <v>253</v>
      </c>
      <c r="B12" s="1">
        <v>2077</v>
      </c>
      <c r="C12" s="2" t="s">
        <v>182</v>
      </c>
      <c r="D12" s="3" t="s">
        <v>47</v>
      </c>
      <c r="E12" s="3">
        <v>500</v>
      </c>
      <c r="F12" s="1" t="s">
        <v>262</v>
      </c>
      <c r="G12" s="1">
        <v>2064</v>
      </c>
      <c r="H12" s="2" t="s">
        <v>182</v>
      </c>
      <c r="I12" s="3" t="s">
        <v>47</v>
      </c>
      <c r="J12" s="3">
        <v>1000</v>
      </c>
      <c r="K12" s="1" t="s">
        <v>186</v>
      </c>
      <c r="L12" s="1">
        <v>2193</v>
      </c>
      <c r="M12" s="2" t="s">
        <v>182</v>
      </c>
      <c r="N12" s="3" t="s">
        <v>47</v>
      </c>
      <c r="O12" s="3">
        <v>2000</v>
      </c>
    </row>
    <row r="13" spans="1:30" ht="15" x14ac:dyDescent="0.15">
      <c r="F13" s="1" t="s">
        <v>277</v>
      </c>
      <c r="G13" s="1">
        <v>2031</v>
      </c>
      <c r="H13" s="2" t="s">
        <v>182</v>
      </c>
      <c r="I13" s="3" t="s">
        <v>47</v>
      </c>
      <c r="J13" s="3">
        <v>1000</v>
      </c>
      <c r="K13" s="1" t="s">
        <v>198</v>
      </c>
      <c r="L13" s="1">
        <v>2175</v>
      </c>
      <c r="M13" s="2" t="s">
        <v>182</v>
      </c>
      <c r="N13" s="3" t="s">
        <v>47</v>
      </c>
      <c r="O13" s="3">
        <v>2000</v>
      </c>
    </row>
    <row r="14" spans="1:30" ht="15" x14ac:dyDescent="0.15">
      <c r="F14" s="1" t="s">
        <v>267</v>
      </c>
      <c r="G14" s="1">
        <v>2056</v>
      </c>
      <c r="H14" s="2" t="s">
        <v>182</v>
      </c>
      <c r="I14" s="3" t="s">
        <v>47</v>
      </c>
      <c r="J14" s="3">
        <v>1000</v>
      </c>
      <c r="K14" s="1" t="s">
        <v>207</v>
      </c>
      <c r="L14" s="1">
        <v>2159</v>
      </c>
      <c r="M14" s="2" t="s">
        <v>182</v>
      </c>
      <c r="N14" s="3" t="s">
        <v>47</v>
      </c>
      <c r="O14" s="3">
        <v>2000</v>
      </c>
    </row>
    <row r="15" spans="1:30" ht="15" x14ac:dyDescent="0.15">
      <c r="K15" s="1" t="s">
        <v>220</v>
      </c>
      <c r="L15" s="1">
        <v>2131</v>
      </c>
      <c r="M15" s="2" t="s">
        <v>182</v>
      </c>
      <c r="N15" s="3" t="s">
        <v>47</v>
      </c>
      <c r="O15" s="3">
        <v>2000</v>
      </c>
    </row>
    <row r="16" spans="1:30" ht="15" x14ac:dyDescent="0.15">
      <c r="K16" s="1" t="s">
        <v>233</v>
      </c>
      <c r="L16" s="1">
        <v>2115</v>
      </c>
      <c r="M16" s="2" t="s">
        <v>182</v>
      </c>
      <c r="N16" s="3" t="s">
        <v>47</v>
      </c>
      <c r="O16" s="3">
        <v>2000</v>
      </c>
    </row>
    <row r="17" spans="6:15" ht="15" x14ac:dyDescent="0.15">
      <c r="K17" s="1" t="s">
        <v>235</v>
      </c>
      <c r="L17" s="1">
        <v>2113</v>
      </c>
      <c r="M17" s="2" t="s">
        <v>182</v>
      </c>
      <c r="N17" s="3" t="s">
        <v>47</v>
      </c>
      <c r="O17" s="3">
        <v>2000</v>
      </c>
    </row>
    <row r="18" spans="6:15" ht="15" x14ac:dyDescent="0.15">
      <c r="K18" s="1" t="s">
        <v>307</v>
      </c>
      <c r="L18" s="1">
        <v>2000</v>
      </c>
      <c r="M18" s="2" t="s">
        <v>182</v>
      </c>
      <c r="N18" s="3" t="s">
        <v>47</v>
      </c>
      <c r="O18" s="3">
        <v>1000</v>
      </c>
    </row>
    <row r="20" spans="6:15" ht="15" hidden="1" x14ac:dyDescent="0.15">
      <c r="K20" s="6" t="s">
        <v>149</v>
      </c>
      <c r="L20" s="6">
        <v>2331</v>
      </c>
      <c r="M20" s="7" t="s">
        <v>121</v>
      </c>
      <c r="N20" s="3" t="s">
        <v>150</v>
      </c>
      <c r="O20" s="3" t="s">
        <v>151</v>
      </c>
    </row>
    <row r="23" spans="6:15" ht="15" x14ac:dyDescent="0.15">
      <c r="F23" s="10" t="s">
        <v>113</v>
      </c>
      <c r="G23" s="10">
        <v>2476</v>
      </c>
      <c r="H23" s="11" t="s">
        <v>71</v>
      </c>
      <c r="I23" s="3" t="s">
        <v>47</v>
      </c>
      <c r="J23" s="3">
        <v>1500</v>
      </c>
      <c r="K23" s="10" t="s">
        <v>105</v>
      </c>
      <c r="L23" s="10">
        <v>2496</v>
      </c>
      <c r="M23" s="11" t="s">
        <v>71</v>
      </c>
      <c r="N23" s="3" t="s">
        <v>47</v>
      </c>
      <c r="O23" s="3">
        <v>3000</v>
      </c>
    </row>
    <row r="24" spans="6:15" ht="15" x14ac:dyDescent="0.15">
      <c r="F24" s="6" t="s">
        <v>175</v>
      </c>
      <c r="G24" s="6">
        <v>2273</v>
      </c>
      <c r="H24" s="7" t="s">
        <v>121</v>
      </c>
      <c r="I24" s="3" t="s">
        <v>47</v>
      </c>
      <c r="J24" s="3">
        <v>1500</v>
      </c>
      <c r="K24" s="6" t="s">
        <v>139</v>
      </c>
      <c r="L24" s="6">
        <v>2353</v>
      </c>
      <c r="M24" s="7" t="s">
        <v>121</v>
      </c>
      <c r="N24" s="3" t="s">
        <v>47</v>
      </c>
      <c r="O24" s="3">
        <v>3000</v>
      </c>
    </row>
    <row r="25" spans="6:15" ht="15" x14ac:dyDescent="0.15">
      <c r="F25" s="1" t="s">
        <v>200</v>
      </c>
      <c r="G25" s="1">
        <v>2170</v>
      </c>
      <c r="H25" s="2" t="s">
        <v>182</v>
      </c>
      <c r="I25" s="3" t="s">
        <v>47</v>
      </c>
      <c r="J25" s="3">
        <v>1500</v>
      </c>
      <c r="K25" s="6" t="s">
        <v>153</v>
      </c>
      <c r="L25" s="6">
        <v>2329</v>
      </c>
      <c r="M25" s="7" t="s">
        <v>121</v>
      </c>
      <c r="N25" s="3" t="s">
        <v>47</v>
      </c>
      <c r="O25" s="3">
        <v>3000</v>
      </c>
    </row>
    <row r="26" spans="6:15" ht="15" x14ac:dyDescent="0.15">
      <c r="F26" s="1" t="s">
        <v>226</v>
      </c>
      <c r="G26" s="1">
        <v>2122</v>
      </c>
      <c r="H26" s="2" t="s">
        <v>182</v>
      </c>
      <c r="I26" s="3" t="s">
        <v>47</v>
      </c>
      <c r="J26" s="3">
        <v>1500</v>
      </c>
      <c r="K26" s="1" t="s">
        <v>187</v>
      </c>
      <c r="L26" s="1">
        <v>2190</v>
      </c>
      <c r="M26" s="2" t="s">
        <v>182</v>
      </c>
      <c r="N26" s="3" t="s">
        <v>47</v>
      </c>
      <c r="O26" s="3">
        <v>3000</v>
      </c>
    </row>
    <row r="27" spans="6:15" ht="15" x14ac:dyDescent="0.15">
      <c r="F27" s="1" t="s">
        <v>280</v>
      </c>
      <c r="G27" s="1">
        <v>2030</v>
      </c>
      <c r="H27" s="2" t="s">
        <v>182</v>
      </c>
      <c r="I27" s="3" t="s">
        <v>47</v>
      </c>
      <c r="J27" s="3">
        <v>1500</v>
      </c>
      <c r="K27" s="1" t="s">
        <v>193</v>
      </c>
      <c r="L27" s="1">
        <v>2178</v>
      </c>
      <c r="M27" s="2" t="s">
        <v>182</v>
      </c>
      <c r="N27" s="3" t="s">
        <v>47</v>
      </c>
      <c r="O27" s="3">
        <v>3000</v>
      </c>
    </row>
    <row r="28" spans="6:15" ht="15" x14ac:dyDescent="0.15">
      <c r="K28" s="1" t="s">
        <v>240</v>
      </c>
      <c r="L28" s="1">
        <v>2102</v>
      </c>
      <c r="M28" s="2" t="s">
        <v>182</v>
      </c>
      <c r="N28" s="3" t="s">
        <v>47</v>
      </c>
      <c r="O28" s="3">
        <v>3000</v>
      </c>
    </row>
    <row r="35" spans="11:15" ht="15" hidden="1" x14ac:dyDescent="0.15">
      <c r="K35" s="1" t="s">
        <v>195</v>
      </c>
      <c r="L35" s="1">
        <v>2176</v>
      </c>
      <c r="M35" s="2" t="s">
        <v>182</v>
      </c>
      <c r="N35" s="3" t="s">
        <v>150</v>
      </c>
      <c r="O35" s="3" t="s">
        <v>151</v>
      </c>
    </row>
    <row r="39" spans="11:15" ht="15" hidden="1" x14ac:dyDescent="0.15">
      <c r="K39" s="12" t="s">
        <v>213</v>
      </c>
      <c r="L39" s="1">
        <v>2144</v>
      </c>
      <c r="M39" s="2" t="s">
        <v>182</v>
      </c>
      <c r="N39" s="3" t="s">
        <v>150</v>
      </c>
      <c r="O39" s="3" t="s">
        <v>151</v>
      </c>
    </row>
    <row r="42" spans="11:15" ht="15" hidden="1" x14ac:dyDescent="0.15">
      <c r="K42" s="1" t="s">
        <v>216</v>
      </c>
      <c r="L42" s="1">
        <v>2140</v>
      </c>
      <c r="M42" s="2" t="s">
        <v>182</v>
      </c>
      <c r="N42" s="3" t="s">
        <v>831</v>
      </c>
      <c r="O42" s="3" t="s">
        <v>839</v>
      </c>
    </row>
    <row r="44" spans="11:15" ht="15" hidden="1" x14ac:dyDescent="0.15">
      <c r="K44" s="1" t="s">
        <v>219</v>
      </c>
      <c r="L44" s="1">
        <v>2133</v>
      </c>
      <c r="M44" s="2" t="s">
        <v>182</v>
      </c>
      <c r="N44" s="3" t="s">
        <v>829</v>
      </c>
      <c r="O44" s="3" t="s">
        <v>840</v>
      </c>
    </row>
    <row r="48" spans="11:15" ht="15" hidden="1" x14ac:dyDescent="0.15">
      <c r="K48" s="1" t="s">
        <v>231</v>
      </c>
      <c r="L48" s="1">
        <v>2115</v>
      </c>
      <c r="M48" s="2" t="s">
        <v>182</v>
      </c>
      <c r="N48" s="3" t="s">
        <v>150</v>
      </c>
      <c r="O48" s="3" t="s">
        <v>232</v>
      </c>
    </row>
    <row r="52" spans="11:15" ht="15" hidden="1" x14ac:dyDescent="0.15">
      <c r="K52" s="1" t="s">
        <v>245</v>
      </c>
      <c r="L52" s="1">
        <v>2095</v>
      </c>
      <c r="M52" s="2" t="s">
        <v>182</v>
      </c>
      <c r="N52" s="3" t="s">
        <v>150</v>
      </c>
      <c r="O52" s="3" t="s">
        <v>839</v>
      </c>
    </row>
    <row r="54" spans="11:15" ht="15" hidden="1" x14ac:dyDescent="0.15">
      <c r="K54" s="1" t="s">
        <v>248</v>
      </c>
      <c r="L54" s="1">
        <v>2090</v>
      </c>
      <c r="M54" s="2" t="s">
        <v>182</v>
      </c>
      <c r="N54" s="3" t="s">
        <v>150</v>
      </c>
      <c r="O54" s="3" t="s">
        <v>151</v>
      </c>
    </row>
    <row r="55" spans="11:15" ht="15" hidden="1" x14ac:dyDescent="0.15">
      <c r="K55" s="12" t="s">
        <v>249</v>
      </c>
      <c r="L55" s="1">
        <v>2090</v>
      </c>
      <c r="M55" s="2" t="s">
        <v>182</v>
      </c>
      <c r="N55" s="3" t="s">
        <v>150</v>
      </c>
      <c r="O55" s="3" t="s">
        <v>232</v>
      </c>
    </row>
    <row r="56" spans="11:15" ht="15" hidden="1" x14ac:dyDescent="0.15">
      <c r="K56" s="12" t="s">
        <v>251</v>
      </c>
      <c r="L56" s="1">
        <v>2080</v>
      </c>
      <c r="M56" s="2" t="s">
        <v>182</v>
      </c>
      <c r="N56" s="3" t="s">
        <v>150</v>
      </c>
      <c r="O56" s="3" t="s">
        <v>252</v>
      </c>
    </row>
    <row r="62" spans="11:15" ht="15" hidden="1" x14ac:dyDescent="0.15">
      <c r="K62" s="1" t="s">
        <v>265</v>
      </c>
      <c r="L62" s="1">
        <v>2061</v>
      </c>
      <c r="M62" s="2" t="s">
        <v>182</v>
      </c>
      <c r="N62" s="3" t="s">
        <v>150</v>
      </c>
      <c r="O62" s="3" t="s">
        <v>151</v>
      </c>
    </row>
    <row r="65" spans="11:15" ht="15" hidden="1" x14ac:dyDescent="0.15">
      <c r="K65" s="1" t="s">
        <v>269</v>
      </c>
      <c r="L65" s="1">
        <v>2053</v>
      </c>
      <c r="M65" s="2" t="s">
        <v>182</v>
      </c>
      <c r="N65" s="3" t="s">
        <v>270</v>
      </c>
      <c r="O65" s="3" t="s">
        <v>151</v>
      </c>
    </row>
    <row r="66" spans="11:15" ht="15" hidden="1" x14ac:dyDescent="0.15">
      <c r="K66" s="1" t="s">
        <v>272</v>
      </c>
      <c r="L66" s="1">
        <v>2049</v>
      </c>
      <c r="M66" s="2" t="s">
        <v>182</v>
      </c>
      <c r="N66" s="3" t="s">
        <v>831</v>
      </c>
      <c r="O66" s="3" t="s">
        <v>839</v>
      </c>
    </row>
    <row r="70" spans="11:15" ht="15" hidden="1" x14ac:dyDescent="0.15">
      <c r="K70" s="1" t="s">
        <v>278</v>
      </c>
      <c r="L70" s="1">
        <v>2031</v>
      </c>
      <c r="M70" s="2" t="s">
        <v>182</v>
      </c>
      <c r="N70" s="3" t="s">
        <v>279</v>
      </c>
      <c r="O70" s="3" t="s">
        <v>151</v>
      </c>
    </row>
    <row r="73" spans="11:15" ht="15" hidden="1" x14ac:dyDescent="0.15">
      <c r="K73" s="12" t="s">
        <v>282</v>
      </c>
      <c r="L73" s="1">
        <v>2018</v>
      </c>
      <c r="M73" s="2" t="s">
        <v>182</v>
      </c>
      <c r="N73" s="3" t="s">
        <v>279</v>
      </c>
      <c r="O73" s="3" t="s">
        <v>151</v>
      </c>
    </row>
    <row r="74" spans="11:15" ht="15" hidden="1" x14ac:dyDescent="0.15">
      <c r="K74" s="1" t="s">
        <v>284</v>
      </c>
      <c r="L74" s="1">
        <v>2000</v>
      </c>
      <c r="M74" s="2" t="s">
        <v>182</v>
      </c>
      <c r="N74" s="3" t="s">
        <v>285</v>
      </c>
      <c r="O74" s="3" t="s">
        <v>838</v>
      </c>
    </row>
  </sheetData>
  <autoFilter ref="K1:O75" xr:uid="{00000000-0009-0000-0000-000007000000}">
    <filterColumn colId="3">
      <filters>
        <filter val="将符商店"/>
      </filters>
    </filterColumn>
  </autoFilter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8</vt:i4>
      </vt:variant>
      <vt:variant>
        <vt:lpstr>命名范围</vt:lpstr>
      </vt:variant>
      <vt:variant>
        <vt:i4>1</vt:i4>
      </vt:variant>
    </vt:vector>
  </HeadingPairs>
  <TitlesOfParts>
    <vt:vector size="9" baseType="lpstr">
      <vt:lpstr>分级母表</vt:lpstr>
      <vt:lpstr>武将获取途径</vt:lpstr>
      <vt:lpstr>Sheet1</vt:lpstr>
      <vt:lpstr>Sheet5</vt:lpstr>
      <vt:lpstr>Sheet6</vt:lpstr>
      <vt:lpstr>当前环境有一战之力的武将</vt:lpstr>
      <vt:lpstr>可用的低付费武将</vt:lpstr>
      <vt:lpstr>Sheet8</vt:lpstr>
      <vt:lpstr>可用的低付费武将!_FilterDatabase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wangsheng02</dc:creator>
  <cp:lastModifiedBy>章藩</cp:lastModifiedBy>
  <dcterms:created xsi:type="dcterms:W3CDTF">2026-04-14T05:40:00Z</dcterms:created>
  <dcterms:modified xsi:type="dcterms:W3CDTF">2026-05-20T10:04:35Z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97D52DBB5BDA4AA9A9ECCEFDC06C48E3_13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