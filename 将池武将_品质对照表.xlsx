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C:\Users\zhangfan\my-openspec-project\"/>
    </mc:Choice>
  </mc:AlternateContent>
  <xr:revisionPtr revIDLastSave="0" documentId="13_ncr:1_{DA623300-C750-46BC-8E55-39489DD1D6A8}" xr6:coauthVersionLast="36" xr6:coauthVersionMax="36" xr10:uidLastSave="{00000000-0000-0000-0000-000000000000}"/>
  <bookViews>
    <workbookView xWindow="0" yWindow="0" windowWidth="28800" windowHeight="12135" activeTab="2" xr2:uid="{00000000-000D-0000-FFFF-FFFF00000000}"/>
  </bookViews>
  <sheets>
    <sheet name="将池品质对照" sheetId="1" r:id="rId1"/>
    <sheet name="Sheet1" sheetId="3" r:id="rId2"/>
    <sheet name="Sheet2" sheetId="4" r:id="rId3"/>
    <sheet name="统计" sheetId="2" r:id="rId4"/>
  </sheets>
  <calcPr calcId="191029"/>
</workbook>
</file>

<file path=xl/calcChain.xml><?xml version="1.0" encoding="utf-8"?>
<calcChain xmlns="http://schemas.openxmlformats.org/spreadsheetml/2006/main">
  <c r="G11" i="3" l="1"/>
  <c r="G12" i="3"/>
  <c r="G13" i="3"/>
  <c r="G14" i="3"/>
  <c r="G15" i="3"/>
  <c r="G16" i="3"/>
  <c r="G17" i="3"/>
  <c r="G18" i="3"/>
  <c r="G19" i="3"/>
  <c r="G20" i="3"/>
  <c r="G21" i="3"/>
  <c r="G22" i="3"/>
  <c r="G23" i="3"/>
  <c r="G24" i="3"/>
  <c r="G25" i="3"/>
  <c r="G26" i="3"/>
  <c r="G27" i="3"/>
  <c r="G28" i="3"/>
  <c r="G29" i="3"/>
  <c r="G30" i="3"/>
  <c r="G31" i="3"/>
  <c r="G32" i="3"/>
  <c r="G33" i="3"/>
  <c r="G34" i="3"/>
  <c r="G35" i="3"/>
  <c r="G36" i="3"/>
  <c r="G37" i="3"/>
  <c r="G38" i="3"/>
  <c r="G39" i="3"/>
  <c r="G40" i="3"/>
  <c r="G41" i="3"/>
  <c r="G42" i="3"/>
  <c r="G43" i="3"/>
  <c r="G44" i="3"/>
  <c r="G45" i="3"/>
  <c r="G46" i="3"/>
  <c r="G47" i="3"/>
  <c r="G48" i="3"/>
  <c r="G49" i="3"/>
  <c r="G50" i="3"/>
  <c r="G51" i="3"/>
  <c r="G52" i="3"/>
  <c r="G53" i="3"/>
  <c r="G54" i="3"/>
  <c r="G55" i="3"/>
  <c r="G56" i="3"/>
  <c r="G57" i="3"/>
  <c r="G58" i="3"/>
  <c r="G59" i="3"/>
  <c r="G60" i="3"/>
  <c r="G61" i="3"/>
  <c r="G62" i="3"/>
  <c r="G63" i="3"/>
  <c r="G64" i="3"/>
  <c r="G65" i="3"/>
  <c r="G66" i="3"/>
  <c r="G67" i="3"/>
  <c r="G68" i="3"/>
  <c r="G69" i="3"/>
  <c r="G70" i="3"/>
  <c r="G71" i="3"/>
  <c r="G72" i="3"/>
  <c r="G73" i="3"/>
  <c r="G74" i="3"/>
  <c r="G75" i="3"/>
  <c r="G76" i="3"/>
  <c r="G77" i="3"/>
  <c r="G78" i="3"/>
  <c r="G79" i="3"/>
  <c r="G80" i="3"/>
  <c r="G81" i="3"/>
  <c r="G82" i="3"/>
  <c r="G83" i="3"/>
  <c r="G84" i="3"/>
  <c r="G85" i="3"/>
  <c r="G86" i="3"/>
  <c r="G87" i="3"/>
  <c r="G88" i="3"/>
  <c r="G89" i="3"/>
  <c r="G90" i="3"/>
  <c r="G91" i="3"/>
  <c r="G92" i="3"/>
  <c r="G93" i="3"/>
  <c r="G94" i="3"/>
  <c r="G95" i="3"/>
  <c r="G96" i="3"/>
  <c r="G97" i="3"/>
  <c r="G98" i="3"/>
  <c r="G99" i="3"/>
  <c r="G100" i="3"/>
  <c r="G101" i="3"/>
  <c r="G102" i="3"/>
  <c r="G103" i="3"/>
  <c r="G104" i="3"/>
  <c r="G105" i="3"/>
  <c r="G106" i="3"/>
  <c r="G107" i="3"/>
  <c r="G108" i="3"/>
  <c r="G109" i="3"/>
  <c r="G110" i="3"/>
  <c r="G111" i="3"/>
  <c r="G112" i="3"/>
  <c r="G113" i="3"/>
  <c r="G114" i="3"/>
  <c r="G115" i="3"/>
  <c r="G116" i="3"/>
  <c r="G117" i="3"/>
  <c r="G118" i="3"/>
  <c r="G119" i="3"/>
  <c r="G120" i="3"/>
  <c r="G121" i="3"/>
  <c r="G122" i="3"/>
  <c r="G123" i="3"/>
  <c r="G124" i="3"/>
  <c r="G125" i="3"/>
  <c r="G126" i="3"/>
  <c r="G127" i="3"/>
  <c r="G128" i="3"/>
  <c r="G129" i="3"/>
  <c r="G130" i="3"/>
  <c r="G131" i="3"/>
  <c r="G132" i="3"/>
  <c r="G133" i="3"/>
  <c r="G134" i="3"/>
  <c r="G135" i="3"/>
  <c r="G136" i="3"/>
  <c r="G137" i="3"/>
  <c r="G138" i="3"/>
  <c r="G139" i="3"/>
  <c r="G140" i="3"/>
  <c r="G141" i="3"/>
  <c r="G142" i="3"/>
  <c r="G143" i="3"/>
  <c r="G144" i="3"/>
  <c r="G145" i="3"/>
  <c r="G146" i="3"/>
  <c r="G147" i="3"/>
  <c r="G148" i="3"/>
  <c r="G149" i="3"/>
  <c r="G150" i="3"/>
  <c r="G151" i="3"/>
  <c r="G152" i="3"/>
  <c r="G153" i="3"/>
  <c r="G154" i="3"/>
  <c r="G155" i="3"/>
  <c r="G156" i="3"/>
  <c r="G157" i="3"/>
  <c r="G158" i="3"/>
  <c r="G159" i="3"/>
  <c r="G160" i="3"/>
  <c r="G161" i="3"/>
  <c r="G162" i="3"/>
  <c r="G163" i="3"/>
  <c r="G164" i="3"/>
  <c r="G165" i="3"/>
  <c r="G166" i="3"/>
  <c r="G167" i="3"/>
  <c r="G168" i="3"/>
  <c r="G169" i="3"/>
  <c r="G170" i="3"/>
  <c r="G171" i="3"/>
  <c r="G172" i="3"/>
  <c r="G173" i="3"/>
  <c r="G174" i="3"/>
  <c r="G175" i="3"/>
  <c r="G176" i="3"/>
  <c r="G177" i="3"/>
  <c r="G178" i="3"/>
  <c r="G179" i="3"/>
  <c r="G180" i="3"/>
  <c r="G181" i="3"/>
  <c r="G182" i="3"/>
  <c r="G183" i="3"/>
  <c r="G184" i="3"/>
  <c r="G185" i="3"/>
  <c r="G186" i="3"/>
  <c r="G187" i="3"/>
  <c r="G188" i="3"/>
  <c r="G189" i="3"/>
  <c r="G190" i="3"/>
  <c r="G191" i="3"/>
  <c r="G192" i="3"/>
  <c r="G193" i="3"/>
  <c r="G194" i="3"/>
  <c r="G195" i="3"/>
  <c r="G196" i="3"/>
  <c r="G197" i="3"/>
  <c r="G198" i="3"/>
  <c r="G199" i="3"/>
  <c r="G200" i="3"/>
  <c r="G201" i="3"/>
  <c r="G202" i="3"/>
  <c r="G203" i="3"/>
  <c r="G204" i="3"/>
  <c r="G205" i="3"/>
  <c r="G206" i="3"/>
  <c r="G207" i="3"/>
  <c r="G208" i="3"/>
  <c r="G209" i="3"/>
  <c r="G210" i="3"/>
  <c r="G211" i="3"/>
  <c r="G212" i="3"/>
  <c r="G213" i="3"/>
  <c r="G214" i="3"/>
  <c r="G215" i="3"/>
  <c r="G216" i="3"/>
  <c r="G217" i="3"/>
  <c r="G218" i="3"/>
  <c r="G219" i="3"/>
  <c r="G220" i="3"/>
  <c r="G221" i="3"/>
  <c r="G222" i="3"/>
  <c r="G223" i="3"/>
  <c r="G224" i="3"/>
  <c r="G225" i="3"/>
  <c r="G226" i="3"/>
  <c r="G227" i="3"/>
  <c r="G228" i="3"/>
  <c r="G229" i="3"/>
  <c r="G230" i="3"/>
  <c r="G231" i="3"/>
  <c r="G232" i="3"/>
  <c r="G233" i="3"/>
  <c r="G234" i="3"/>
  <c r="G235" i="3"/>
  <c r="G236" i="3"/>
  <c r="G237" i="3"/>
  <c r="G238" i="3"/>
  <c r="G239" i="3"/>
  <c r="G240" i="3"/>
  <c r="G241" i="3"/>
  <c r="G242" i="3"/>
  <c r="G243" i="3"/>
  <c r="G244" i="3"/>
  <c r="G245" i="3"/>
  <c r="G246" i="3"/>
  <c r="G247" i="3"/>
  <c r="G248" i="3"/>
  <c r="G249" i="3"/>
  <c r="G250" i="3"/>
  <c r="G251" i="3"/>
  <c r="G252" i="3"/>
  <c r="G253" i="3"/>
  <c r="G254" i="3"/>
  <c r="G255" i="3"/>
  <c r="G256" i="3"/>
  <c r="G257" i="3"/>
  <c r="G258" i="3"/>
  <c r="G259" i="3"/>
  <c r="G260" i="3"/>
  <c r="G261" i="3"/>
  <c r="G262" i="3"/>
  <c r="G263" i="3"/>
  <c r="G264" i="3"/>
  <c r="G265" i="3"/>
  <c r="G266" i="3"/>
  <c r="G267" i="3"/>
  <c r="G268" i="3"/>
  <c r="G269" i="3"/>
  <c r="G270" i="3"/>
  <c r="G271" i="3"/>
  <c r="G272" i="3"/>
  <c r="G273" i="3"/>
  <c r="G274" i="3"/>
  <c r="G275" i="3"/>
  <c r="G276" i="3"/>
  <c r="G277" i="3"/>
  <c r="G278" i="3"/>
  <c r="G279" i="3"/>
  <c r="G280" i="3"/>
  <c r="G281" i="3"/>
  <c r="G282" i="3"/>
  <c r="G283" i="3"/>
  <c r="G284" i="3"/>
  <c r="G285" i="3"/>
  <c r="G286" i="3"/>
  <c r="G10" i="3"/>
</calcChain>
</file>

<file path=xl/sharedStrings.xml><?xml version="1.0" encoding="utf-8"?>
<sst xmlns="http://schemas.openxmlformats.org/spreadsheetml/2006/main" count="1292" uniqueCount="324">
  <si>
    <t>武将名称</t>
  </si>
  <si>
    <t>原分区</t>
  </si>
  <si>
    <t>新品质</t>
  </si>
  <si>
    <t>司马徽</t>
  </si>
  <si>
    <t>祈福SSS</t>
  </si>
  <si>
    <t>传说</t>
  </si>
  <si>
    <t>兀突骨</t>
  </si>
  <si>
    <t>史诗</t>
  </si>
  <si>
    <t>庞德公</t>
  </si>
  <si>
    <t>王烈</t>
  </si>
  <si>
    <t>沙摩柯</t>
  </si>
  <si>
    <t>稀有</t>
  </si>
  <si>
    <t>陆郁生</t>
  </si>
  <si>
    <t>关索</t>
  </si>
  <si>
    <t>限定SSS</t>
  </si>
  <si>
    <t>限定</t>
  </si>
  <si>
    <t>赵襄</t>
  </si>
  <si>
    <t>鲍三娘</t>
  </si>
  <si>
    <t>徐荣</t>
  </si>
  <si>
    <t>曹婴</t>
  </si>
  <si>
    <t>张琪瑛</t>
  </si>
  <si>
    <t>曹纯</t>
  </si>
  <si>
    <t>花鬘</t>
  </si>
  <si>
    <t>刘宏</t>
  </si>
  <si>
    <t>限定(高级)</t>
  </si>
  <si>
    <t>刘永</t>
  </si>
  <si>
    <t>张勋</t>
  </si>
  <si>
    <t>麴义</t>
  </si>
  <si>
    <t>祢衡</t>
  </si>
  <si>
    <t>胡金定</t>
  </si>
  <si>
    <t>皇甫嵩</t>
  </si>
  <si>
    <t>限定(普通)</t>
  </si>
  <si>
    <t>赵昂</t>
  </si>
  <si>
    <t>何进</t>
  </si>
  <si>
    <t>严夫人</t>
  </si>
  <si>
    <t>陆凯</t>
  </si>
  <si>
    <t>管辂</t>
  </si>
  <si>
    <t>王昶</t>
  </si>
  <si>
    <t>张让</t>
  </si>
  <si>
    <t>活动武将池</t>
  </si>
  <si>
    <t>王桃</t>
  </si>
  <si>
    <t>陈珪</t>
  </si>
  <si>
    <t>辛宪英</t>
  </si>
  <si>
    <t>黄祖</t>
  </si>
  <si>
    <t>韩馥</t>
  </si>
  <si>
    <t>王悦</t>
  </si>
  <si>
    <t>胡班</t>
  </si>
  <si>
    <t>蒲元</t>
  </si>
  <si>
    <t>杨仪</t>
  </si>
  <si>
    <t>孙鲁育</t>
  </si>
  <si>
    <t>邓芝</t>
  </si>
  <si>
    <t>田畴</t>
  </si>
  <si>
    <t>王荣</t>
  </si>
  <si>
    <t>南华老仙</t>
  </si>
  <si>
    <t>华歆</t>
  </si>
  <si>
    <t>冯熙</t>
  </si>
  <si>
    <t>轲比能</t>
  </si>
  <si>
    <t>雷铜</t>
  </si>
  <si>
    <t>吕玲绮</t>
  </si>
  <si>
    <t>陶谦</t>
  </si>
  <si>
    <t>朱灵</t>
  </si>
  <si>
    <t>雷薄</t>
  </si>
  <si>
    <t>王双</t>
  </si>
  <si>
    <t>张嫙</t>
  </si>
  <si>
    <t>张邈</t>
  </si>
  <si>
    <t>吉平</t>
  </si>
  <si>
    <t>尹夫人</t>
  </si>
  <si>
    <t>刘琦</t>
  </si>
  <si>
    <t>潘淑</t>
  </si>
  <si>
    <t>曹安民</t>
  </si>
  <si>
    <t>刘巴</t>
  </si>
  <si>
    <t>王威</t>
  </si>
  <si>
    <t>董承</t>
  </si>
  <si>
    <t>滕公主</t>
  </si>
  <si>
    <t>何晏</t>
  </si>
  <si>
    <t>冯方</t>
  </si>
  <si>
    <t>穆顺</t>
  </si>
  <si>
    <t>张虎</t>
  </si>
  <si>
    <t>管亥</t>
  </si>
  <si>
    <t>唐姬</t>
  </si>
  <si>
    <t>滕胤</t>
  </si>
  <si>
    <t>吕旷吕翔</t>
  </si>
  <si>
    <t>留赞</t>
  </si>
  <si>
    <t>诸葛尚</t>
  </si>
  <si>
    <t>杜夫人</t>
  </si>
  <si>
    <t>羊祜</t>
  </si>
  <si>
    <t>刘辩</t>
  </si>
  <si>
    <t>杨婉</t>
  </si>
  <si>
    <t>荀谌</t>
  </si>
  <si>
    <t>卞喜</t>
  </si>
  <si>
    <t>黄忠</t>
  </si>
  <si>
    <t>SS武将池</t>
  </si>
  <si>
    <t>邓艾</t>
  </si>
  <si>
    <t>郝昭</t>
  </si>
  <si>
    <t>虞翻</t>
  </si>
  <si>
    <t>步骘</t>
  </si>
  <si>
    <t>戏志才</t>
  </si>
  <si>
    <t>蒋琬费祎</t>
  </si>
  <si>
    <t>魏延</t>
  </si>
  <si>
    <t>姜维</t>
  </si>
  <si>
    <t>曹植</t>
  </si>
  <si>
    <t>伏皇后</t>
  </si>
  <si>
    <t>曹昂</t>
  </si>
  <si>
    <t>SP孙尚香</t>
  </si>
  <si>
    <t>李傕郭汜</t>
  </si>
  <si>
    <t>曹仁</t>
  </si>
  <si>
    <t>刘禅</t>
  </si>
  <si>
    <t>陈宫</t>
  </si>
  <si>
    <t>李儒</t>
  </si>
  <si>
    <t>刘协</t>
  </si>
  <si>
    <t>SP蔡文姬</t>
  </si>
  <si>
    <t>董白</t>
  </si>
  <si>
    <t>小乔</t>
  </si>
  <si>
    <t>孙策</t>
  </si>
  <si>
    <t>关兴张苞</t>
  </si>
  <si>
    <t>张松</t>
  </si>
  <si>
    <t>曹节</t>
  </si>
  <si>
    <t>李严</t>
  </si>
  <si>
    <t>赵忠</t>
  </si>
  <si>
    <t>周泰</t>
  </si>
  <si>
    <t>张昭张纮</t>
  </si>
  <si>
    <t>步练师</t>
  </si>
  <si>
    <t>沮授</t>
  </si>
  <si>
    <t>董允</t>
  </si>
  <si>
    <t>糜竺</t>
  </si>
  <si>
    <t>崔琰毛玠</t>
  </si>
  <si>
    <t>张角</t>
  </si>
  <si>
    <t>蔡文姬</t>
  </si>
  <si>
    <t>荀攸</t>
  </si>
  <si>
    <t>曹叡</t>
  </si>
  <si>
    <t>诸葛瑾</t>
  </si>
  <si>
    <t>关银屏</t>
  </si>
  <si>
    <t>朱儁</t>
  </si>
  <si>
    <t>荀彧</t>
  </si>
  <si>
    <t>陆绩</t>
  </si>
  <si>
    <t>王异</t>
  </si>
  <si>
    <t>钟繇</t>
  </si>
  <si>
    <t>李典</t>
  </si>
  <si>
    <t>徐氏</t>
  </si>
  <si>
    <t>曹丕</t>
  </si>
  <si>
    <t>王基</t>
  </si>
  <si>
    <t>钟会</t>
  </si>
  <si>
    <t>夏侯氏</t>
  </si>
  <si>
    <t>刘焉</t>
  </si>
  <si>
    <t>吕虔</t>
  </si>
  <si>
    <t>贾诩</t>
  </si>
  <si>
    <t>许攸</t>
  </si>
  <si>
    <t>曹冲</t>
  </si>
  <si>
    <t>朱治</t>
  </si>
  <si>
    <t>张鲁</t>
  </si>
  <si>
    <t>马腾</t>
  </si>
  <si>
    <t>鲁肃</t>
  </si>
  <si>
    <t>诸葛瞻</t>
  </si>
  <si>
    <t>满宠</t>
  </si>
  <si>
    <t>郭图逢纪</t>
  </si>
  <si>
    <t>秦宓</t>
  </si>
  <si>
    <t>孔融</t>
  </si>
  <si>
    <t>张郃</t>
  </si>
  <si>
    <t>周妃</t>
  </si>
  <si>
    <t>刘封</t>
  </si>
  <si>
    <t>吴苋</t>
  </si>
  <si>
    <t>薛综</t>
  </si>
  <si>
    <t>田丰</t>
  </si>
  <si>
    <t>于吉</t>
  </si>
  <si>
    <t>S武将池</t>
  </si>
  <si>
    <t>王平</t>
  </si>
  <si>
    <t>凌统</t>
  </si>
  <si>
    <t>陈群</t>
  </si>
  <si>
    <t>诸葛诞</t>
  </si>
  <si>
    <t>SP黄月英</t>
  </si>
  <si>
    <t>臧霸</t>
  </si>
  <si>
    <t>庞统</t>
  </si>
  <si>
    <t>孙亮</t>
  </si>
  <si>
    <t>徐盛</t>
  </si>
  <si>
    <t>吴懿</t>
  </si>
  <si>
    <t>严畯</t>
  </si>
  <si>
    <t>周鲂</t>
  </si>
  <si>
    <t>糜夫人</t>
  </si>
  <si>
    <t>卧龙诸葛</t>
  </si>
  <si>
    <t>蒯良蒯越</t>
  </si>
  <si>
    <t>张春华</t>
  </si>
  <si>
    <t>周仓</t>
  </si>
  <si>
    <t>司马朗</t>
  </si>
  <si>
    <t>贺齐</t>
  </si>
  <si>
    <t>陈武董袭</t>
  </si>
  <si>
    <t>太史慈</t>
  </si>
  <si>
    <t>陈到</t>
  </si>
  <si>
    <t>高顺</t>
  </si>
  <si>
    <t>孙鲁班</t>
  </si>
  <si>
    <t>杜畿</t>
  </si>
  <si>
    <t>文聘</t>
  </si>
  <si>
    <t>张任</t>
  </si>
  <si>
    <t>庞德</t>
  </si>
  <si>
    <t>陆抗</t>
  </si>
  <si>
    <t>马岱</t>
  </si>
  <si>
    <t>朱桓</t>
  </si>
  <si>
    <t>孙乾</t>
  </si>
  <si>
    <t>吕岱</t>
  </si>
  <si>
    <t>曹洪</t>
  </si>
  <si>
    <t>颜良文丑</t>
  </si>
  <si>
    <t>毌丘俭</t>
  </si>
  <si>
    <t>程普</t>
  </si>
  <si>
    <t>顾雍</t>
  </si>
  <si>
    <t>潘濬</t>
  </si>
  <si>
    <t>刘繇</t>
  </si>
  <si>
    <t>蒋钦</t>
  </si>
  <si>
    <t>袁绍</t>
  </si>
  <si>
    <t>袁术</t>
  </si>
  <si>
    <t>韩当</t>
  </si>
  <si>
    <t>蔡夫人</t>
  </si>
  <si>
    <t>郭皇后</t>
  </si>
  <si>
    <t>马云騄</t>
  </si>
  <si>
    <t>卞夫人</t>
  </si>
  <si>
    <t>徐晃</t>
  </si>
  <si>
    <t>张绣</t>
  </si>
  <si>
    <t>刘表</t>
  </si>
  <si>
    <t>曹休</t>
  </si>
  <si>
    <t>王粲</t>
  </si>
  <si>
    <t>祖茂</t>
  </si>
  <si>
    <t>孙坚</t>
  </si>
  <si>
    <t>法正</t>
  </si>
  <si>
    <t>关平</t>
  </si>
  <si>
    <t>刘谌</t>
  </si>
  <si>
    <t>蔡邕</t>
  </si>
  <si>
    <t>蹋顿</t>
  </si>
  <si>
    <t>董卓</t>
  </si>
  <si>
    <t>马谡</t>
  </si>
  <si>
    <t>简雍</t>
  </si>
  <si>
    <t>孙休</t>
  </si>
  <si>
    <t>SP徐庶</t>
  </si>
  <si>
    <t>乐进</t>
  </si>
  <si>
    <t>祝融</t>
  </si>
  <si>
    <t>徐庶</t>
  </si>
  <si>
    <t>潘璋马忠</t>
  </si>
  <si>
    <t>公孙渊</t>
  </si>
  <si>
    <t>SP庞统</t>
  </si>
  <si>
    <t>纪灵</t>
  </si>
  <si>
    <t>孟获</t>
  </si>
  <si>
    <t>吴国太</t>
  </si>
  <si>
    <t>韩浩史涣</t>
  </si>
  <si>
    <t>孙登</t>
  </si>
  <si>
    <t>SP姜维</t>
  </si>
  <si>
    <t>何太后</t>
  </si>
  <si>
    <t>人数</t>
  </si>
  <si>
    <t>合计</t>
  </si>
  <si>
    <t>ConfID</t>
  </si>
  <si>
    <t>DropItemID</t>
  </si>
  <si>
    <t>DropItemName</t>
  </si>
  <si>
    <t>DropItemType</t>
  </si>
  <si>
    <t>DropChance</t>
  </si>
  <si>
    <t>int32</t>
  </si>
  <si>
    <t>string</t>
  </si>
  <si>
    <t>DropItemTyp</t>
  </si>
  <si>
    <t>RepeatCheck:true MakeIndex:true OutTags:"c"</t>
  </si>
  <si>
    <t>ServerOnly:true OutTags:"s"</t>
  </si>
  <si>
    <t>唯一ID</t>
  </si>
  <si>
    <t>掉落道具名称</t>
  </si>
  <si>
    <t>掉落组ID</t>
  </si>
  <si>
    <t>包含掉落组ID类型</t>
  </si>
  <si>
    <t>掉落相对概率</t>
  </si>
  <si>
    <t>祈福SSS武将池</t>
  </si>
  <si>
    <t>掉落组</t>
  </si>
  <si>
    <t>限定SSS武将池</t>
  </si>
  <si>
    <t>高级SS武将池</t>
  </si>
  <si>
    <t>SS级武将池</t>
  </si>
  <si>
    <t>S级武将池</t>
  </si>
  <si>
    <t>道具</t>
  </si>
  <si>
    <t>程昱</t>
  </si>
  <si>
    <t>孙皓</t>
  </si>
  <si>
    <t>陈琳</t>
  </si>
  <si>
    <t>士燮</t>
  </si>
  <si>
    <t>杨修</t>
  </si>
  <si>
    <t>文鸯</t>
  </si>
  <si>
    <t>蒋干</t>
  </si>
  <si>
    <t>葛玄</t>
  </si>
  <si>
    <t>张昌蒲</t>
  </si>
  <si>
    <t>童渊</t>
  </si>
  <si>
    <t>陈登</t>
  </si>
  <si>
    <t>郭照</t>
  </si>
  <si>
    <t>樊玉凤</t>
  </si>
  <si>
    <t>阮瑀</t>
  </si>
  <si>
    <t>黄承彦</t>
  </si>
  <si>
    <t>吴范</t>
  </si>
  <si>
    <t>张媱</t>
  </si>
  <si>
    <t>夏侯令女</t>
  </si>
  <si>
    <t>杜夔</t>
  </si>
  <si>
    <t>孙茹</t>
  </si>
  <si>
    <t>胡昭</t>
  </si>
  <si>
    <t>公孙度</t>
  </si>
  <si>
    <t>牛辅</t>
  </si>
  <si>
    <t>黄权</t>
  </si>
  <si>
    <t>SP贾诩</t>
  </si>
  <si>
    <t>谋黄盖</t>
  </si>
  <si>
    <t>忙牙长</t>
  </si>
  <si>
    <t>许贡</t>
  </si>
  <si>
    <t>李傕</t>
  </si>
  <si>
    <t>郭汜</t>
  </si>
  <si>
    <t>樊稠</t>
  </si>
  <si>
    <t>张济</t>
  </si>
  <si>
    <t>吕范</t>
  </si>
  <si>
    <t>梁兴</t>
  </si>
  <si>
    <t>段煨</t>
  </si>
  <si>
    <t>宗预</t>
  </si>
  <si>
    <t>丘力居</t>
  </si>
  <si>
    <t>阚泽</t>
  </si>
  <si>
    <t>孙綝</t>
  </si>
  <si>
    <t>赵嫣</t>
  </si>
  <si>
    <t>SP孟获</t>
  </si>
  <si>
    <t>蔡瑁张允</t>
  </si>
  <si>
    <t>刘虞</t>
  </si>
  <si>
    <t>秦宜禄</t>
  </si>
  <si>
    <t>李婉</t>
  </si>
  <si>
    <t>阎柔</t>
  </si>
  <si>
    <t>马日磾</t>
  </si>
  <si>
    <t>李采薇</t>
  </si>
  <si>
    <t>掉落道具ID</t>
    <phoneticPr fontId="4" type="noConversion"/>
  </si>
  <si>
    <t>DropGroupID</t>
    <phoneticPr fontId="4" type="noConversion"/>
  </si>
  <si>
    <t>将星招募概率一览</t>
  </si>
  <si>
    <t>概率</t>
  </si>
  <si>
    <t>祈福武将池</t>
    <phoneticPr fontId="4" type="noConversion"/>
  </si>
  <si>
    <t>稀有一武将池</t>
    <phoneticPr fontId="4" type="noConversion"/>
  </si>
  <si>
    <t>稀有二武将池</t>
    <phoneticPr fontId="4" type="noConversion"/>
  </si>
  <si>
    <t>传说及史诗武将池</t>
    <phoneticPr fontId="4" type="noConversion"/>
  </si>
  <si>
    <t>史诗稀有武将池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</si>
</sst>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_ "/>
  </numFmts>
  <fonts count="12">
    <font>
      <sz val="11"/>
      <color theme="1"/>
      <name val="宋体"/>
      <family val="2"/>
      <scheme val="minor"/>
    </font>
    <font>
      <b/>
      <sz val="11"/>
      <color rgb="FFFFFFFF"/>
      <name val="宋体"/>
      <family val="3"/>
      <charset val="134"/>
    </font>
    <font>
      <b/>
      <sz val="11"/>
      <name val="宋体"/>
      <family val="3"/>
      <charset val="134"/>
    </font>
    <font>
      <sz val="10"/>
      <color theme="1"/>
      <name val="微软雅黑"/>
      <family val="2"/>
      <charset val="134"/>
    </font>
    <font>
      <sz val="9"/>
      <name val="宋体"/>
      <family val="3"/>
      <charset val="134"/>
      <scheme val="minor"/>
    </font>
    <font>
      <sz val="10"/>
      <name val="微软雅黑"/>
      <family val="2"/>
      <charset val="134"/>
    </font>
    <font>
      <sz val="11"/>
      <color theme="1"/>
      <name val="宋体"/>
      <family val="3"/>
      <charset val="134"/>
      <scheme val="minor"/>
    </font>
    <font>
      <sz val="10"/>
      <color rgb="FF000000"/>
      <name val="微软雅黑"/>
      <family val="2"/>
      <charset val="134"/>
    </font>
    <font>
      <sz val="11"/>
      <color rgb="FFFFFFFF"/>
      <name val="SOURCEHANSANSCN-MEDIUM"/>
      <family val="2"/>
    </font>
    <font>
      <sz val="11"/>
      <color rgb="FF000000"/>
      <name val="Arial"/>
      <family val="2"/>
    </font>
    <font>
      <sz val="11"/>
      <color rgb="FFE53333"/>
      <name val="微软雅黑"/>
      <family val="2"/>
      <charset val="134"/>
    </font>
    <font>
      <sz val="11"/>
      <color rgb="FF000000"/>
      <name val="微软雅黑"/>
      <family val="2"/>
      <charset val="134"/>
    </font>
  </fonts>
  <fills count="12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  <fill>
      <patternFill patternType="solid">
        <fgColor indexed="51"/>
        <bgColor indexed="64"/>
      </patternFill>
    </fill>
    <fill>
      <patternFill patternType="solid">
        <fgColor theme="5" tint="0.39802240058595539"/>
        <bgColor indexed="64"/>
      </patternFill>
    </fill>
    <fill>
      <patternFill patternType="solid">
        <fgColor theme="7" tint="0.7993408001953185"/>
        <bgColor indexed="64"/>
      </patternFill>
    </fill>
    <fill>
      <patternFill patternType="solid">
        <fgColor theme="6" tint="0.79955442976165048"/>
        <bgColor indexed="64"/>
      </patternFill>
    </fill>
    <fill>
      <patternFill patternType="solid">
        <fgColor theme="6" tint="0.79961546678060247"/>
        <bgColor indexed="64"/>
      </patternFill>
    </fill>
    <fill>
      <patternFill patternType="solid">
        <fgColor theme="9" tint="0.79955442976165048"/>
        <bgColor indexed="64"/>
      </patternFill>
    </fill>
    <fill>
      <patternFill patternType="solid">
        <fgColor theme="8" tint="0.7993408001953185"/>
        <bgColor indexed="64"/>
      </patternFill>
    </fill>
    <fill>
      <patternFill patternType="solid">
        <fgColor theme="6" tint="0.7993408001953185"/>
        <bgColor indexed="64"/>
      </patternFill>
    </fill>
    <fill>
      <patternFill patternType="solid">
        <fgColor rgb="FFFFFFFF"/>
        <bgColor indexed="64"/>
      </patternFill>
    </fill>
  </fills>
  <borders count="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medium">
        <color rgb="FF000000"/>
      </left>
      <right style="medium">
        <color rgb="FF808080"/>
      </right>
      <top style="medium">
        <color rgb="FF000000"/>
      </top>
      <bottom style="medium">
        <color rgb="FF808080"/>
      </bottom>
      <diagonal/>
    </border>
    <border>
      <left style="medium">
        <color rgb="FF808080"/>
      </left>
      <right style="medium">
        <color rgb="FF000000"/>
      </right>
      <top style="medium">
        <color rgb="FF000000"/>
      </top>
      <bottom style="medium">
        <color rgb="FF808080"/>
      </bottom>
      <diagonal/>
    </border>
    <border>
      <left style="medium">
        <color rgb="FF000000"/>
      </left>
      <right style="medium">
        <color rgb="FF808080"/>
      </right>
      <top style="medium">
        <color rgb="FF808080"/>
      </top>
      <bottom style="medium">
        <color rgb="FF808080"/>
      </bottom>
      <diagonal/>
    </border>
    <border>
      <left style="medium">
        <color rgb="FF808080"/>
      </left>
      <right style="medium">
        <color rgb="FF000000"/>
      </right>
      <top style="medium">
        <color rgb="FF808080"/>
      </top>
      <bottom style="medium">
        <color rgb="FF808080"/>
      </bottom>
      <diagonal/>
    </border>
    <border>
      <left style="medium">
        <color rgb="FF000000"/>
      </left>
      <right style="medium">
        <color rgb="FF808080"/>
      </right>
      <top style="medium">
        <color rgb="FF808080"/>
      </top>
      <bottom style="medium">
        <color rgb="FF000000"/>
      </bottom>
      <diagonal/>
    </border>
    <border>
      <left style="medium">
        <color rgb="FF808080"/>
      </left>
      <right style="medium">
        <color rgb="FF000000"/>
      </right>
      <top style="medium">
        <color rgb="FF808080"/>
      </top>
      <bottom style="medium">
        <color rgb="FF000000"/>
      </bottom>
      <diagonal/>
    </border>
  </borders>
  <cellStyleXfs count="3">
    <xf numFmtId="0" fontId="0" fillId="0" borderId="0"/>
    <xf numFmtId="0" fontId="6" fillId="0" borderId="0">
      <alignment vertical="center"/>
    </xf>
    <xf numFmtId="0" fontId="6" fillId="0" borderId="0">
      <alignment vertical="center"/>
    </xf>
  </cellStyleXfs>
  <cellXfs count="45">
    <xf numFmtId="0" fontId="0" fillId="0" borderId="0" xfId="0"/>
    <xf numFmtId="0" fontId="1" fillId="2" borderId="1" xfId="0" applyFont="1" applyFill="1" applyBorder="1" applyAlignment="1">
      <alignment horizontal="center"/>
    </xf>
    <xf numFmtId="0" fontId="0" fillId="0" borderId="1" xfId="0" applyBorder="1"/>
    <xf numFmtId="0" fontId="0" fillId="0" borderId="1" xfId="0" applyBorder="1" applyAlignment="1">
      <alignment horizontal="center"/>
    </xf>
    <xf numFmtId="0" fontId="1" fillId="2" borderId="0" xfId="0" applyFont="1" applyFill="1"/>
    <xf numFmtId="0" fontId="2" fillId="0" borderId="1" xfId="0" applyFont="1" applyBorder="1"/>
    <xf numFmtId="0" fontId="2" fillId="0" borderId="1" xfId="0" applyFont="1" applyBorder="1" applyAlignment="1">
      <alignment horizontal="center"/>
    </xf>
    <xf numFmtId="0" fontId="3" fillId="0" borderId="0" xfId="0" applyFont="1" applyAlignment="1">
      <alignment horizontal="left"/>
    </xf>
    <xf numFmtId="0" fontId="5" fillId="0" borderId="0" xfId="0" applyFont="1" applyAlignment="1">
      <alignment horizontal="left" vertical="center"/>
    </xf>
    <xf numFmtId="0" fontId="3" fillId="3" borderId="2" xfId="0" applyFont="1" applyFill="1" applyBorder="1" applyAlignment="1">
      <alignment horizontal="left" vertical="center"/>
    </xf>
    <xf numFmtId="0" fontId="5" fillId="3" borderId="1" xfId="0" applyFont="1" applyFill="1" applyBorder="1" applyAlignment="1">
      <alignment horizontal="left" vertical="center"/>
    </xf>
    <xf numFmtId="0" fontId="5" fillId="4" borderId="0" xfId="0" applyFont="1" applyFill="1" applyAlignment="1">
      <alignment horizontal="left" vertical="center"/>
    </xf>
    <xf numFmtId="0" fontId="3" fillId="4" borderId="0" xfId="0" applyFont="1" applyFill="1" applyAlignment="1">
      <alignment horizontal="left"/>
    </xf>
    <xf numFmtId="176" fontId="5" fillId="0" borderId="0" xfId="0" applyNumberFormat="1" applyFont="1" applyAlignment="1">
      <alignment horizontal="left" vertical="center"/>
    </xf>
    <xf numFmtId="0" fontId="5" fillId="5" borderId="0" xfId="0" applyFont="1" applyFill="1" applyAlignment="1">
      <alignment horizontal="left" vertical="center"/>
    </xf>
    <xf numFmtId="176" fontId="5" fillId="5" borderId="0" xfId="0" applyNumberFormat="1" applyFont="1" applyFill="1" applyAlignment="1">
      <alignment horizontal="left" vertical="center"/>
    </xf>
    <xf numFmtId="0" fontId="3" fillId="6" borderId="0" xfId="0" applyFont="1" applyFill="1" applyAlignment="1">
      <alignment horizontal="left"/>
    </xf>
    <xf numFmtId="0" fontId="5" fillId="6" borderId="0" xfId="0" applyFont="1" applyFill="1" applyAlignment="1">
      <alignment horizontal="left" vertical="center"/>
    </xf>
    <xf numFmtId="176" fontId="5" fillId="6" borderId="0" xfId="0" applyNumberFormat="1" applyFont="1" applyFill="1" applyAlignment="1">
      <alignment horizontal="left" vertical="center"/>
    </xf>
    <xf numFmtId="0" fontId="5" fillId="6" borderId="0" xfId="1" applyFont="1" applyFill="1" applyAlignment="1">
      <alignment horizontal="left" vertical="center"/>
    </xf>
    <xf numFmtId="0" fontId="7" fillId="6" borderId="0" xfId="0" applyFont="1" applyFill="1" applyAlignment="1">
      <alignment horizontal="left" vertical="center"/>
    </xf>
    <xf numFmtId="0" fontId="7" fillId="7" borderId="0" xfId="0" applyFont="1" applyFill="1" applyAlignment="1">
      <alignment horizontal="left" vertical="center"/>
    </xf>
    <xf numFmtId="0" fontId="5" fillId="7" borderId="0" xfId="0" applyFont="1" applyFill="1" applyAlignment="1">
      <alignment horizontal="left" vertical="center"/>
    </xf>
    <xf numFmtId="176" fontId="5" fillId="7" borderId="0" xfId="0" applyNumberFormat="1" applyFont="1" applyFill="1" applyAlignment="1">
      <alignment horizontal="left" vertical="center"/>
    </xf>
    <xf numFmtId="0" fontId="3" fillId="7" borderId="0" xfId="0" applyFont="1" applyFill="1" applyAlignment="1">
      <alignment horizontal="left"/>
    </xf>
    <xf numFmtId="0" fontId="5" fillId="8" borderId="0" xfId="0" applyFont="1" applyFill="1" applyAlignment="1">
      <alignment horizontal="left" vertical="center"/>
    </xf>
    <xf numFmtId="176" fontId="5" fillId="8" borderId="0" xfId="0" applyNumberFormat="1" applyFont="1" applyFill="1" applyAlignment="1">
      <alignment horizontal="left" vertical="center"/>
    </xf>
    <xf numFmtId="0" fontId="3" fillId="8" borderId="0" xfId="0" applyFont="1" applyFill="1" applyAlignment="1">
      <alignment horizontal="left"/>
    </xf>
    <xf numFmtId="0" fontId="5" fillId="8" borderId="0" xfId="1" applyFont="1" applyFill="1" applyAlignment="1">
      <alignment horizontal="left" vertical="center"/>
    </xf>
    <xf numFmtId="0" fontId="7" fillId="8" borderId="0" xfId="0" applyFont="1" applyFill="1" applyAlignment="1">
      <alignment horizontal="left" vertical="center"/>
    </xf>
    <xf numFmtId="0" fontId="5" fillId="9" borderId="0" xfId="0" applyFont="1" applyFill="1" applyAlignment="1">
      <alignment horizontal="left" vertical="center"/>
    </xf>
    <xf numFmtId="0" fontId="3" fillId="9" borderId="0" xfId="0" applyFont="1" applyFill="1" applyAlignment="1">
      <alignment horizontal="left" vertical="center"/>
    </xf>
    <xf numFmtId="176" fontId="5" fillId="9" borderId="0" xfId="0" applyNumberFormat="1" applyFont="1" applyFill="1" applyAlignment="1">
      <alignment horizontal="left" vertical="center"/>
    </xf>
    <xf numFmtId="0" fontId="5" fillId="9" borderId="0" xfId="1" applyFont="1" applyFill="1" applyAlignment="1">
      <alignment horizontal="left" vertical="center"/>
    </xf>
    <xf numFmtId="0" fontId="5" fillId="10" borderId="0" xfId="0" applyFont="1" applyFill="1" applyAlignment="1">
      <alignment horizontal="left" vertical="center"/>
    </xf>
    <xf numFmtId="0" fontId="3" fillId="10" borderId="0" xfId="0" applyFont="1" applyFill="1" applyAlignment="1">
      <alignment horizontal="left" vertical="center"/>
    </xf>
    <xf numFmtId="0" fontId="8" fillId="0" borderId="0" xfId="0" applyFont="1" applyAlignment="1">
      <alignment horizontal="left" vertical="center" wrapText="1" indent="1"/>
    </xf>
    <xf numFmtId="0" fontId="9" fillId="0" borderId="0" xfId="0" applyFont="1" applyAlignment="1">
      <alignment horizontal="center" vertical="center" wrapText="1"/>
    </xf>
    <xf numFmtId="0" fontId="9" fillId="11" borderId="3" xfId="0" applyFont="1" applyFill="1" applyBorder="1" applyAlignment="1">
      <alignment horizontal="center" vertical="center" wrapText="1"/>
    </xf>
    <xf numFmtId="0" fontId="9" fillId="11" borderId="4" xfId="0" applyFont="1" applyFill="1" applyBorder="1" applyAlignment="1">
      <alignment horizontal="center" vertical="center" wrapText="1"/>
    </xf>
    <xf numFmtId="10" fontId="9" fillId="11" borderId="6" xfId="0" applyNumberFormat="1" applyFont="1" applyFill="1" applyBorder="1" applyAlignment="1">
      <alignment horizontal="center" vertical="center" wrapText="1"/>
    </xf>
    <xf numFmtId="10" fontId="9" fillId="11" borderId="8" xfId="0" applyNumberFormat="1" applyFont="1" applyFill="1" applyBorder="1" applyAlignment="1">
      <alignment horizontal="center" vertical="center" wrapText="1"/>
    </xf>
    <xf numFmtId="0" fontId="10" fillId="11" borderId="5" xfId="0" applyFont="1" applyFill="1" applyBorder="1" applyAlignment="1">
      <alignment horizontal="center" vertical="center" wrapText="1"/>
    </xf>
    <xf numFmtId="0" fontId="11" fillId="11" borderId="5" xfId="0" applyFont="1" applyFill="1" applyBorder="1" applyAlignment="1">
      <alignment horizontal="center" vertical="center" wrapText="1"/>
    </xf>
    <xf numFmtId="0" fontId="11" fillId="11" borderId="7" xfId="0" applyFont="1" applyFill="1" applyBorder="1" applyAlignment="1">
      <alignment horizontal="center" vertical="center" wrapText="1"/>
    </xf>
  </cellXfs>
  <cellStyles count="3">
    <cellStyle name="常规" xfId="0" builtinId="0"/>
    <cellStyle name="常规 2 2" xfId="1" xr:uid="{8E0292B9-4D53-4B70-A14A-62860B3D291D}"/>
    <cellStyle name="常规 3" xfId="2" xr:uid="{50A2F987-656F-4847-9542-76F556D96EFE}"/>
  </cellStyles>
  <dxfs count="1"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30"/>
  <sheetViews>
    <sheetView workbookViewId="0">
      <selection activeCell="D27" sqref="D27"/>
    </sheetView>
  </sheetViews>
  <sheetFormatPr defaultRowHeight="13.5"/>
  <cols>
    <col min="1" max="1" width="15" customWidth="1"/>
    <col min="2" max="2" width="12" customWidth="1"/>
    <col min="3" max="3" width="10" customWidth="1"/>
  </cols>
  <sheetData>
    <row r="1" spans="1:3">
      <c r="A1" s="1" t="s">
        <v>0</v>
      </c>
      <c r="B1" s="1" t="s">
        <v>1</v>
      </c>
      <c r="C1" s="1" t="s">
        <v>2</v>
      </c>
    </row>
    <row r="2" spans="1:3">
      <c r="A2" s="2" t="s">
        <v>3</v>
      </c>
      <c r="B2" s="2" t="s">
        <v>4</v>
      </c>
      <c r="C2" s="3" t="s">
        <v>5</v>
      </c>
    </row>
    <row r="3" spans="1:3">
      <c r="A3" s="2" t="s">
        <v>6</v>
      </c>
      <c r="B3" s="2" t="s">
        <v>4</v>
      </c>
      <c r="C3" s="3" t="s">
        <v>7</v>
      </c>
    </row>
    <row r="4" spans="1:3">
      <c r="A4" s="2" t="s">
        <v>8</v>
      </c>
      <c r="B4" s="2" t="s">
        <v>4</v>
      </c>
      <c r="C4" s="3" t="s">
        <v>7</v>
      </c>
    </row>
    <row r="5" spans="1:3">
      <c r="A5" s="2" t="s">
        <v>9</v>
      </c>
      <c r="B5" s="2" t="s">
        <v>4</v>
      </c>
      <c r="C5" s="3" t="s">
        <v>7</v>
      </c>
    </row>
    <row r="6" spans="1:3">
      <c r="A6" s="2" t="s">
        <v>10</v>
      </c>
      <c r="B6" s="2" t="s">
        <v>4</v>
      </c>
      <c r="C6" s="3" t="s">
        <v>11</v>
      </c>
    </row>
    <row r="7" spans="1:3">
      <c r="A7" s="2" t="s">
        <v>12</v>
      </c>
      <c r="B7" s="2" t="s">
        <v>4</v>
      </c>
      <c r="C7" s="3" t="s">
        <v>11</v>
      </c>
    </row>
    <row r="8" spans="1:3">
      <c r="A8" s="2" t="s">
        <v>13</v>
      </c>
      <c r="B8" s="2" t="s">
        <v>14</v>
      </c>
      <c r="C8" s="3" t="s">
        <v>15</v>
      </c>
    </row>
    <row r="9" spans="1:3">
      <c r="A9" s="2" t="s">
        <v>16</v>
      </c>
      <c r="B9" s="2" t="s">
        <v>14</v>
      </c>
      <c r="C9" s="3" t="s">
        <v>15</v>
      </c>
    </row>
    <row r="10" spans="1:3">
      <c r="A10" s="2" t="s">
        <v>17</v>
      </c>
      <c r="B10" s="2" t="s">
        <v>14</v>
      </c>
      <c r="C10" s="3" t="s">
        <v>15</v>
      </c>
    </row>
    <row r="11" spans="1:3">
      <c r="A11" s="2" t="s">
        <v>18</v>
      </c>
      <c r="B11" s="2" t="s">
        <v>14</v>
      </c>
      <c r="C11" s="3" t="s">
        <v>15</v>
      </c>
    </row>
    <row r="12" spans="1:3">
      <c r="A12" s="2" t="s">
        <v>19</v>
      </c>
      <c r="B12" s="2" t="s">
        <v>14</v>
      </c>
      <c r="C12" s="3" t="s">
        <v>15</v>
      </c>
    </row>
    <row r="13" spans="1:3">
      <c r="A13" s="2" t="s">
        <v>20</v>
      </c>
      <c r="B13" s="2" t="s">
        <v>14</v>
      </c>
      <c r="C13" s="3" t="s">
        <v>15</v>
      </c>
    </row>
    <row r="14" spans="1:3">
      <c r="A14" s="2" t="s">
        <v>21</v>
      </c>
      <c r="B14" s="2" t="s">
        <v>14</v>
      </c>
      <c r="C14" s="3" t="s">
        <v>15</v>
      </c>
    </row>
    <row r="15" spans="1:3">
      <c r="A15" s="2" t="s">
        <v>22</v>
      </c>
      <c r="B15" s="2" t="s">
        <v>14</v>
      </c>
      <c r="C15" s="3" t="s">
        <v>5</v>
      </c>
    </row>
    <row r="16" spans="1:3">
      <c r="A16" s="2" t="s">
        <v>23</v>
      </c>
      <c r="B16" s="2" t="s">
        <v>24</v>
      </c>
      <c r="C16" s="3" t="s">
        <v>11</v>
      </c>
    </row>
    <row r="17" spans="1:3">
      <c r="A17" s="2" t="s">
        <v>25</v>
      </c>
      <c r="B17" s="2" t="s">
        <v>24</v>
      </c>
      <c r="C17" s="3" t="s">
        <v>7</v>
      </c>
    </row>
    <row r="18" spans="1:3">
      <c r="A18" s="2" t="s">
        <v>26</v>
      </c>
      <c r="B18" s="2" t="s">
        <v>24</v>
      </c>
      <c r="C18" s="3" t="s">
        <v>11</v>
      </c>
    </row>
    <row r="19" spans="1:3">
      <c r="A19" s="2" t="s">
        <v>27</v>
      </c>
      <c r="B19" s="2" t="s">
        <v>24</v>
      </c>
      <c r="C19" s="3" t="s">
        <v>11</v>
      </c>
    </row>
    <row r="20" spans="1:3">
      <c r="A20" s="2" t="s">
        <v>28</v>
      </c>
      <c r="B20" s="2" t="s">
        <v>24</v>
      </c>
      <c r="C20" s="3" t="s">
        <v>7</v>
      </c>
    </row>
    <row r="21" spans="1:3">
      <c r="A21" s="2" t="s">
        <v>29</v>
      </c>
      <c r="B21" s="2" t="s">
        <v>24</v>
      </c>
      <c r="C21" s="3" t="s">
        <v>7</v>
      </c>
    </row>
    <row r="22" spans="1:3">
      <c r="A22" s="2" t="s">
        <v>30</v>
      </c>
      <c r="B22" s="2" t="s">
        <v>31</v>
      </c>
      <c r="C22" s="3" t="s">
        <v>5</v>
      </c>
    </row>
    <row r="23" spans="1:3">
      <c r="A23" s="2" t="s">
        <v>32</v>
      </c>
      <c r="B23" s="2" t="s">
        <v>31</v>
      </c>
      <c r="C23" s="3" t="s">
        <v>7</v>
      </c>
    </row>
    <row r="24" spans="1:3">
      <c r="A24" s="2" t="s">
        <v>33</v>
      </c>
      <c r="B24" s="2" t="s">
        <v>31</v>
      </c>
      <c r="C24" s="3" t="s">
        <v>11</v>
      </c>
    </row>
    <row r="25" spans="1:3">
      <c r="A25" s="2" t="s">
        <v>34</v>
      </c>
      <c r="B25" s="2" t="s">
        <v>31</v>
      </c>
      <c r="C25" s="3" t="s">
        <v>7</v>
      </c>
    </row>
    <row r="26" spans="1:3">
      <c r="A26" s="2" t="s">
        <v>35</v>
      </c>
      <c r="B26" s="2" t="s">
        <v>31</v>
      </c>
      <c r="C26" s="3" t="s">
        <v>7</v>
      </c>
    </row>
    <row r="27" spans="1:3">
      <c r="A27" s="2" t="s">
        <v>36</v>
      </c>
      <c r="B27" s="2" t="s">
        <v>31</v>
      </c>
      <c r="C27" s="3" t="s">
        <v>5</v>
      </c>
    </row>
    <row r="28" spans="1:3">
      <c r="A28" s="2" t="s">
        <v>37</v>
      </c>
      <c r="B28" s="2" t="s">
        <v>31</v>
      </c>
      <c r="C28" s="3" t="s">
        <v>7</v>
      </c>
    </row>
    <row r="29" spans="1:3">
      <c r="A29" s="2" t="s">
        <v>38</v>
      </c>
      <c r="B29" s="2" t="s">
        <v>39</v>
      </c>
      <c r="C29" s="3" t="s">
        <v>7</v>
      </c>
    </row>
    <row r="30" spans="1:3">
      <c r="A30" s="2" t="s">
        <v>40</v>
      </c>
      <c r="B30" s="2" t="s">
        <v>39</v>
      </c>
      <c r="C30" s="3" t="s">
        <v>7</v>
      </c>
    </row>
    <row r="31" spans="1:3">
      <c r="A31" s="2" t="s">
        <v>41</v>
      </c>
      <c r="B31" s="2" t="s">
        <v>39</v>
      </c>
      <c r="C31" s="3" t="s">
        <v>7</v>
      </c>
    </row>
    <row r="32" spans="1:3">
      <c r="A32" s="2" t="s">
        <v>42</v>
      </c>
      <c r="B32" s="2" t="s">
        <v>39</v>
      </c>
      <c r="C32" s="3" t="s">
        <v>7</v>
      </c>
    </row>
    <row r="33" spans="1:3">
      <c r="A33" s="2" t="s">
        <v>43</v>
      </c>
      <c r="B33" s="2" t="s">
        <v>39</v>
      </c>
      <c r="C33" s="3" t="s">
        <v>7</v>
      </c>
    </row>
    <row r="34" spans="1:3">
      <c r="A34" s="2" t="s">
        <v>44</v>
      </c>
      <c r="B34" s="2" t="s">
        <v>39</v>
      </c>
      <c r="C34" s="3" t="s">
        <v>11</v>
      </c>
    </row>
    <row r="35" spans="1:3">
      <c r="A35" s="2" t="s">
        <v>45</v>
      </c>
      <c r="B35" s="2" t="s">
        <v>39</v>
      </c>
      <c r="C35" s="3" t="s">
        <v>7</v>
      </c>
    </row>
    <row r="36" spans="1:3">
      <c r="A36" s="2" t="s">
        <v>46</v>
      </c>
      <c r="B36" s="2" t="s">
        <v>39</v>
      </c>
      <c r="C36" s="3" t="s">
        <v>7</v>
      </c>
    </row>
    <row r="37" spans="1:3">
      <c r="A37" s="2" t="s">
        <v>47</v>
      </c>
      <c r="B37" s="2" t="s">
        <v>39</v>
      </c>
      <c r="C37" s="3" t="s">
        <v>5</v>
      </c>
    </row>
    <row r="38" spans="1:3">
      <c r="A38" s="2" t="s">
        <v>48</v>
      </c>
      <c r="B38" s="2" t="s">
        <v>39</v>
      </c>
      <c r="C38" s="3" t="s">
        <v>7</v>
      </c>
    </row>
    <row r="39" spans="1:3">
      <c r="A39" s="2" t="s">
        <v>49</v>
      </c>
      <c r="B39" s="2" t="s">
        <v>39</v>
      </c>
      <c r="C39" s="3" t="s">
        <v>11</v>
      </c>
    </row>
    <row r="40" spans="1:3">
      <c r="A40" s="2" t="s">
        <v>50</v>
      </c>
      <c r="B40" s="2" t="s">
        <v>39</v>
      </c>
      <c r="C40" s="3" t="s">
        <v>7</v>
      </c>
    </row>
    <row r="41" spans="1:3">
      <c r="A41" s="2" t="s">
        <v>51</v>
      </c>
      <c r="B41" s="2" t="s">
        <v>39</v>
      </c>
      <c r="C41" s="3" t="s">
        <v>7</v>
      </c>
    </row>
    <row r="42" spans="1:3">
      <c r="A42" s="2" t="s">
        <v>52</v>
      </c>
      <c r="B42" s="2" t="s">
        <v>39</v>
      </c>
      <c r="C42" s="3" t="s">
        <v>7</v>
      </c>
    </row>
    <row r="43" spans="1:3">
      <c r="A43" s="2" t="s">
        <v>53</v>
      </c>
      <c r="B43" s="2" t="s">
        <v>39</v>
      </c>
      <c r="C43" s="3" t="s">
        <v>5</v>
      </c>
    </row>
    <row r="44" spans="1:3">
      <c r="A44" s="2" t="s">
        <v>54</v>
      </c>
      <c r="B44" s="2" t="s">
        <v>39</v>
      </c>
      <c r="C44" s="3" t="s">
        <v>7</v>
      </c>
    </row>
    <row r="45" spans="1:3">
      <c r="A45" s="2" t="s">
        <v>55</v>
      </c>
      <c r="B45" s="2" t="s">
        <v>39</v>
      </c>
      <c r="C45" s="3" t="s">
        <v>7</v>
      </c>
    </row>
    <row r="46" spans="1:3">
      <c r="A46" s="2" t="s">
        <v>56</v>
      </c>
      <c r="B46" s="2" t="s">
        <v>39</v>
      </c>
      <c r="C46" s="3" t="s">
        <v>7</v>
      </c>
    </row>
    <row r="47" spans="1:3">
      <c r="A47" s="2" t="s">
        <v>57</v>
      </c>
      <c r="B47" s="2" t="s">
        <v>39</v>
      </c>
      <c r="C47" s="3" t="s">
        <v>7</v>
      </c>
    </row>
    <row r="48" spans="1:3">
      <c r="A48" s="2" t="s">
        <v>58</v>
      </c>
      <c r="B48" s="2" t="s">
        <v>39</v>
      </c>
      <c r="C48" s="3" t="s">
        <v>5</v>
      </c>
    </row>
    <row r="49" spans="1:3">
      <c r="A49" s="2" t="s">
        <v>59</v>
      </c>
      <c r="B49" s="2" t="s">
        <v>39</v>
      </c>
      <c r="C49" s="3" t="s">
        <v>11</v>
      </c>
    </row>
    <row r="50" spans="1:3">
      <c r="A50" s="2" t="s">
        <v>60</v>
      </c>
      <c r="B50" s="2" t="s">
        <v>39</v>
      </c>
      <c r="C50" s="3" t="s">
        <v>7</v>
      </c>
    </row>
    <row r="51" spans="1:3">
      <c r="A51" s="2" t="s">
        <v>61</v>
      </c>
      <c r="B51" s="2" t="s">
        <v>39</v>
      </c>
      <c r="C51" s="3" t="s">
        <v>7</v>
      </c>
    </row>
    <row r="52" spans="1:3">
      <c r="A52" s="2" t="s">
        <v>62</v>
      </c>
      <c r="B52" s="2" t="s">
        <v>39</v>
      </c>
      <c r="C52" s="3" t="s">
        <v>7</v>
      </c>
    </row>
    <row r="53" spans="1:3">
      <c r="A53" s="2" t="s">
        <v>63</v>
      </c>
      <c r="B53" s="2" t="s">
        <v>39</v>
      </c>
      <c r="C53" s="3" t="s">
        <v>7</v>
      </c>
    </row>
    <row r="54" spans="1:3">
      <c r="A54" s="2" t="s">
        <v>64</v>
      </c>
      <c r="B54" s="2" t="s">
        <v>39</v>
      </c>
      <c r="C54" s="3" t="s">
        <v>11</v>
      </c>
    </row>
    <row r="55" spans="1:3">
      <c r="A55" s="2" t="s">
        <v>65</v>
      </c>
      <c r="B55" s="2" t="s">
        <v>39</v>
      </c>
      <c r="C55" s="3" t="s">
        <v>7</v>
      </c>
    </row>
    <row r="56" spans="1:3">
      <c r="A56" s="2" t="s">
        <v>66</v>
      </c>
      <c r="B56" s="2" t="s">
        <v>39</v>
      </c>
      <c r="C56" s="3" t="s">
        <v>7</v>
      </c>
    </row>
    <row r="57" spans="1:3">
      <c r="A57" s="2" t="s">
        <v>67</v>
      </c>
      <c r="B57" s="2" t="s">
        <v>39</v>
      </c>
      <c r="C57" s="3" t="s">
        <v>7</v>
      </c>
    </row>
    <row r="58" spans="1:3">
      <c r="A58" s="2" t="s">
        <v>68</v>
      </c>
      <c r="B58" s="2" t="s">
        <v>39</v>
      </c>
      <c r="C58" s="3" t="s">
        <v>5</v>
      </c>
    </row>
    <row r="59" spans="1:3">
      <c r="A59" s="2" t="s">
        <v>69</v>
      </c>
      <c r="B59" s="2" t="s">
        <v>39</v>
      </c>
      <c r="C59" s="3" t="s">
        <v>7</v>
      </c>
    </row>
    <row r="60" spans="1:3">
      <c r="A60" s="2" t="s">
        <v>70</v>
      </c>
      <c r="B60" s="2" t="s">
        <v>39</v>
      </c>
      <c r="C60" s="3" t="s">
        <v>7</v>
      </c>
    </row>
    <row r="61" spans="1:3">
      <c r="A61" s="2" t="s">
        <v>71</v>
      </c>
      <c r="B61" s="2" t="s">
        <v>39</v>
      </c>
      <c r="C61" s="3" t="s">
        <v>7</v>
      </c>
    </row>
    <row r="62" spans="1:3">
      <c r="A62" s="2" t="s">
        <v>72</v>
      </c>
      <c r="B62" s="2" t="s">
        <v>39</v>
      </c>
      <c r="C62" s="3" t="s">
        <v>7</v>
      </c>
    </row>
    <row r="63" spans="1:3">
      <c r="A63" s="2" t="s">
        <v>73</v>
      </c>
      <c r="B63" s="2" t="s">
        <v>39</v>
      </c>
      <c r="C63" s="3" t="s">
        <v>7</v>
      </c>
    </row>
    <row r="64" spans="1:3">
      <c r="A64" s="2" t="s">
        <v>74</v>
      </c>
      <c r="B64" s="2" t="s">
        <v>39</v>
      </c>
      <c r="C64" s="3" t="s">
        <v>7</v>
      </c>
    </row>
    <row r="65" spans="1:3">
      <c r="A65" s="2" t="s">
        <v>75</v>
      </c>
      <c r="B65" s="2" t="s">
        <v>39</v>
      </c>
      <c r="C65" s="3" t="s">
        <v>7</v>
      </c>
    </row>
    <row r="66" spans="1:3">
      <c r="A66" s="2" t="s">
        <v>76</v>
      </c>
      <c r="B66" s="2" t="s">
        <v>39</v>
      </c>
      <c r="C66" s="3" t="s">
        <v>7</v>
      </c>
    </row>
    <row r="67" spans="1:3">
      <c r="A67" s="2" t="s">
        <v>77</v>
      </c>
      <c r="B67" s="2" t="s">
        <v>39</v>
      </c>
      <c r="C67" s="3" t="s">
        <v>7</v>
      </c>
    </row>
    <row r="68" spans="1:3">
      <c r="A68" s="2" t="s">
        <v>78</v>
      </c>
      <c r="B68" s="2" t="s">
        <v>39</v>
      </c>
      <c r="C68" s="3" t="s">
        <v>5</v>
      </c>
    </row>
    <row r="69" spans="1:3">
      <c r="A69" s="2" t="s">
        <v>79</v>
      </c>
      <c r="B69" s="2" t="s">
        <v>39</v>
      </c>
      <c r="C69" s="3" t="s">
        <v>7</v>
      </c>
    </row>
    <row r="70" spans="1:3">
      <c r="A70" s="2" t="s">
        <v>80</v>
      </c>
      <c r="B70" s="2" t="s">
        <v>39</v>
      </c>
      <c r="C70" s="3" t="s">
        <v>7</v>
      </c>
    </row>
    <row r="71" spans="1:3">
      <c r="A71" s="2" t="s">
        <v>81</v>
      </c>
      <c r="B71" s="2" t="s">
        <v>39</v>
      </c>
      <c r="C71" s="3" t="s">
        <v>11</v>
      </c>
    </row>
    <row r="72" spans="1:3">
      <c r="A72" s="2" t="s">
        <v>82</v>
      </c>
      <c r="B72" s="2" t="s">
        <v>39</v>
      </c>
      <c r="C72" s="3" t="s">
        <v>5</v>
      </c>
    </row>
    <row r="73" spans="1:3">
      <c r="A73" s="2" t="s">
        <v>83</v>
      </c>
      <c r="B73" s="2" t="s">
        <v>39</v>
      </c>
      <c r="C73" s="3" t="s">
        <v>7</v>
      </c>
    </row>
    <row r="74" spans="1:3">
      <c r="A74" s="2" t="s">
        <v>84</v>
      </c>
      <c r="B74" s="2" t="s">
        <v>39</v>
      </c>
      <c r="C74" s="3" t="s">
        <v>7</v>
      </c>
    </row>
    <row r="75" spans="1:3">
      <c r="A75" s="2" t="s">
        <v>85</v>
      </c>
      <c r="B75" s="2" t="s">
        <v>39</v>
      </c>
      <c r="C75" s="3" t="s">
        <v>7</v>
      </c>
    </row>
    <row r="76" spans="1:3">
      <c r="A76" s="2" t="s">
        <v>86</v>
      </c>
      <c r="B76" s="2" t="s">
        <v>39</v>
      </c>
      <c r="C76" s="3" t="s">
        <v>5</v>
      </c>
    </row>
    <row r="77" spans="1:3">
      <c r="A77" s="2" t="s">
        <v>87</v>
      </c>
      <c r="B77" s="2" t="s">
        <v>39</v>
      </c>
      <c r="C77" s="3" t="s">
        <v>5</v>
      </c>
    </row>
    <row r="78" spans="1:3">
      <c r="A78" s="2" t="s">
        <v>88</v>
      </c>
      <c r="B78" s="2" t="s">
        <v>39</v>
      </c>
      <c r="C78" s="3" t="s">
        <v>7</v>
      </c>
    </row>
    <row r="79" spans="1:3">
      <c r="A79" s="2" t="s">
        <v>89</v>
      </c>
      <c r="B79" s="2" t="s">
        <v>39</v>
      </c>
      <c r="C79" s="3" t="s">
        <v>7</v>
      </c>
    </row>
    <row r="80" spans="1:3">
      <c r="A80" s="2" t="s">
        <v>90</v>
      </c>
      <c r="B80" s="2" t="s">
        <v>91</v>
      </c>
      <c r="C80" s="3" t="s">
        <v>11</v>
      </c>
    </row>
    <row r="81" spans="1:3">
      <c r="A81" s="2" t="s">
        <v>92</v>
      </c>
      <c r="B81" s="2" t="s">
        <v>91</v>
      </c>
      <c r="C81" s="3" t="s">
        <v>11</v>
      </c>
    </row>
    <row r="82" spans="1:3">
      <c r="A82" s="2" t="s">
        <v>93</v>
      </c>
      <c r="B82" s="2" t="s">
        <v>91</v>
      </c>
      <c r="C82" s="3" t="s">
        <v>11</v>
      </c>
    </row>
    <row r="83" spans="1:3">
      <c r="A83" s="2" t="s">
        <v>94</v>
      </c>
      <c r="B83" s="2" t="s">
        <v>91</v>
      </c>
      <c r="C83" s="3" t="s">
        <v>11</v>
      </c>
    </row>
    <row r="84" spans="1:3">
      <c r="A84" s="2" t="s">
        <v>95</v>
      </c>
      <c r="B84" s="2" t="s">
        <v>91</v>
      </c>
      <c r="C84" s="3" t="s">
        <v>11</v>
      </c>
    </row>
    <row r="85" spans="1:3">
      <c r="A85" s="2" t="s">
        <v>96</v>
      </c>
      <c r="B85" s="2" t="s">
        <v>91</v>
      </c>
      <c r="C85" s="3" t="s">
        <v>11</v>
      </c>
    </row>
    <row r="86" spans="1:3">
      <c r="A86" s="2" t="s">
        <v>97</v>
      </c>
      <c r="B86" s="2" t="s">
        <v>91</v>
      </c>
      <c r="C86" s="3" t="s">
        <v>11</v>
      </c>
    </row>
    <row r="87" spans="1:3">
      <c r="A87" s="2" t="s">
        <v>98</v>
      </c>
      <c r="B87" s="2" t="s">
        <v>91</v>
      </c>
      <c r="C87" s="3" t="s">
        <v>11</v>
      </c>
    </row>
    <row r="88" spans="1:3">
      <c r="A88" s="2" t="s">
        <v>99</v>
      </c>
      <c r="B88" s="2" t="s">
        <v>91</v>
      </c>
      <c r="C88" s="3" t="s">
        <v>11</v>
      </c>
    </row>
    <row r="89" spans="1:3">
      <c r="A89" s="2" t="s">
        <v>100</v>
      </c>
      <c r="B89" s="2" t="s">
        <v>91</v>
      </c>
      <c r="C89" s="3" t="s">
        <v>11</v>
      </c>
    </row>
    <row r="90" spans="1:3">
      <c r="A90" s="2" t="s">
        <v>101</v>
      </c>
      <c r="B90" s="2" t="s">
        <v>91</v>
      </c>
      <c r="C90" s="3" t="s">
        <v>11</v>
      </c>
    </row>
    <row r="91" spans="1:3">
      <c r="A91" s="2" t="s">
        <v>102</v>
      </c>
      <c r="B91" s="2" t="s">
        <v>91</v>
      </c>
      <c r="C91" s="3" t="s">
        <v>11</v>
      </c>
    </row>
    <row r="92" spans="1:3">
      <c r="A92" s="2" t="s">
        <v>103</v>
      </c>
      <c r="B92" s="2" t="s">
        <v>91</v>
      </c>
      <c r="C92" s="3" t="s">
        <v>11</v>
      </c>
    </row>
    <row r="93" spans="1:3">
      <c r="A93" s="2" t="s">
        <v>104</v>
      </c>
      <c r="B93" s="2" t="s">
        <v>91</v>
      </c>
      <c r="C93" s="3" t="s">
        <v>11</v>
      </c>
    </row>
    <row r="94" spans="1:3">
      <c r="A94" s="2" t="s">
        <v>105</v>
      </c>
      <c r="B94" s="2" t="s">
        <v>91</v>
      </c>
      <c r="C94" s="3" t="s">
        <v>11</v>
      </c>
    </row>
    <row r="95" spans="1:3">
      <c r="A95" s="2" t="s">
        <v>106</v>
      </c>
      <c r="B95" s="2" t="s">
        <v>91</v>
      </c>
      <c r="C95" s="3" t="s">
        <v>11</v>
      </c>
    </row>
    <row r="96" spans="1:3">
      <c r="A96" s="2" t="s">
        <v>107</v>
      </c>
      <c r="B96" s="2" t="s">
        <v>91</v>
      </c>
      <c r="C96" s="3" t="s">
        <v>11</v>
      </c>
    </row>
    <row r="97" spans="1:3">
      <c r="A97" s="2" t="s">
        <v>108</v>
      </c>
      <c r="B97" s="2" t="s">
        <v>91</v>
      </c>
      <c r="C97" s="3" t="s">
        <v>11</v>
      </c>
    </row>
    <row r="98" spans="1:3">
      <c r="A98" s="2" t="s">
        <v>109</v>
      </c>
      <c r="B98" s="2" t="s">
        <v>91</v>
      </c>
      <c r="C98" s="3" t="s">
        <v>11</v>
      </c>
    </row>
    <row r="99" spans="1:3">
      <c r="A99" s="2" t="s">
        <v>110</v>
      </c>
      <c r="B99" s="2" t="s">
        <v>91</v>
      </c>
      <c r="C99" s="3" t="s">
        <v>11</v>
      </c>
    </row>
    <row r="100" spans="1:3">
      <c r="A100" s="2" t="s">
        <v>111</v>
      </c>
      <c r="B100" s="2" t="s">
        <v>91</v>
      </c>
      <c r="C100" s="3" t="s">
        <v>11</v>
      </c>
    </row>
    <row r="101" spans="1:3">
      <c r="A101" s="2" t="s">
        <v>112</v>
      </c>
      <c r="B101" s="2" t="s">
        <v>91</v>
      </c>
      <c r="C101" s="3" t="s">
        <v>11</v>
      </c>
    </row>
    <row r="102" spans="1:3">
      <c r="A102" s="2" t="s">
        <v>113</v>
      </c>
      <c r="B102" s="2" t="s">
        <v>91</v>
      </c>
      <c r="C102" s="3" t="s">
        <v>11</v>
      </c>
    </row>
    <row r="103" spans="1:3">
      <c r="A103" s="2" t="s">
        <v>114</v>
      </c>
      <c r="B103" s="2" t="s">
        <v>91</v>
      </c>
      <c r="C103" s="3" t="s">
        <v>11</v>
      </c>
    </row>
    <row r="104" spans="1:3">
      <c r="A104" s="2" t="s">
        <v>115</v>
      </c>
      <c r="B104" s="2" t="s">
        <v>91</v>
      </c>
      <c r="C104" s="3" t="s">
        <v>11</v>
      </c>
    </row>
    <row r="105" spans="1:3">
      <c r="A105" s="2" t="s">
        <v>116</v>
      </c>
      <c r="B105" s="2" t="s">
        <v>91</v>
      </c>
      <c r="C105" s="3" t="s">
        <v>11</v>
      </c>
    </row>
    <row r="106" spans="1:3">
      <c r="A106" s="2" t="s">
        <v>117</v>
      </c>
      <c r="B106" s="2" t="s">
        <v>91</v>
      </c>
      <c r="C106" s="3" t="s">
        <v>11</v>
      </c>
    </row>
    <row r="107" spans="1:3">
      <c r="A107" s="2" t="s">
        <v>118</v>
      </c>
      <c r="B107" s="2" t="s">
        <v>91</v>
      </c>
      <c r="C107" s="3" t="s">
        <v>11</v>
      </c>
    </row>
    <row r="108" spans="1:3">
      <c r="A108" s="2" t="s">
        <v>119</v>
      </c>
      <c r="B108" s="2" t="s">
        <v>91</v>
      </c>
      <c r="C108" s="3" t="s">
        <v>11</v>
      </c>
    </row>
    <row r="109" spans="1:3">
      <c r="A109" s="2" t="s">
        <v>120</v>
      </c>
      <c r="B109" s="2" t="s">
        <v>91</v>
      </c>
      <c r="C109" s="3" t="s">
        <v>11</v>
      </c>
    </row>
    <row r="110" spans="1:3">
      <c r="A110" s="2" t="s">
        <v>121</v>
      </c>
      <c r="B110" s="2" t="s">
        <v>91</v>
      </c>
      <c r="C110" s="3" t="s">
        <v>11</v>
      </c>
    </row>
    <row r="111" spans="1:3">
      <c r="A111" s="2" t="s">
        <v>122</v>
      </c>
      <c r="B111" s="2" t="s">
        <v>91</v>
      </c>
      <c r="C111" s="3" t="s">
        <v>11</v>
      </c>
    </row>
    <row r="112" spans="1:3">
      <c r="A112" s="2" t="s">
        <v>123</v>
      </c>
      <c r="B112" s="2" t="s">
        <v>91</v>
      </c>
      <c r="C112" s="3" t="s">
        <v>11</v>
      </c>
    </row>
    <row r="113" spans="1:3">
      <c r="A113" s="2" t="s">
        <v>124</v>
      </c>
      <c r="B113" s="2" t="s">
        <v>91</v>
      </c>
      <c r="C113" s="3" t="s">
        <v>11</v>
      </c>
    </row>
    <row r="114" spans="1:3">
      <c r="A114" s="2" t="s">
        <v>125</v>
      </c>
      <c r="B114" s="2" t="s">
        <v>91</v>
      </c>
      <c r="C114" s="3" t="s">
        <v>11</v>
      </c>
    </row>
    <row r="115" spans="1:3">
      <c r="A115" s="2" t="s">
        <v>126</v>
      </c>
      <c r="B115" s="2" t="s">
        <v>91</v>
      </c>
      <c r="C115" s="3" t="s">
        <v>11</v>
      </c>
    </row>
    <row r="116" spans="1:3">
      <c r="A116" s="2" t="s">
        <v>127</v>
      </c>
      <c r="B116" s="2" t="s">
        <v>91</v>
      </c>
      <c r="C116" s="3" t="s">
        <v>11</v>
      </c>
    </row>
    <row r="117" spans="1:3">
      <c r="A117" s="2" t="s">
        <v>128</v>
      </c>
      <c r="B117" s="2" t="s">
        <v>91</v>
      </c>
      <c r="C117" s="3" t="s">
        <v>11</v>
      </c>
    </row>
    <row r="118" spans="1:3">
      <c r="A118" s="2" t="s">
        <v>129</v>
      </c>
      <c r="B118" s="2" t="s">
        <v>91</v>
      </c>
      <c r="C118" s="3" t="s">
        <v>11</v>
      </c>
    </row>
    <row r="119" spans="1:3">
      <c r="A119" s="2" t="s">
        <v>130</v>
      </c>
      <c r="B119" s="2" t="s">
        <v>91</v>
      </c>
      <c r="C119" s="3" t="s">
        <v>11</v>
      </c>
    </row>
    <row r="120" spans="1:3">
      <c r="A120" s="2" t="s">
        <v>131</v>
      </c>
      <c r="B120" s="2" t="s">
        <v>91</v>
      </c>
      <c r="C120" s="3" t="s">
        <v>11</v>
      </c>
    </row>
    <row r="121" spans="1:3">
      <c r="A121" s="2" t="s">
        <v>132</v>
      </c>
      <c r="B121" s="2" t="s">
        <v>91</v>
      </c>
      <c r="C121" s="3" t="s">
        <v>11</v>
      </c>
    </row>
    <row r="122" spans="1:3">
      <c r="A122" s="2" t="s">
        <v>133</v>
      </c>
      <c r="B122" s="2" t="s">
        <v>91</v>
      </c>
      <c r="C122" s="3" t="s">
        <v>11</v>
      </c>
    </row>
    <row r="123" spans="1:3">
      <c r="A123" s="2" t="s">
        <v>134</v>
      </c>
      <c r="B123" s="2" t="s">
        <v>91</v>
      </c>
      <c r="C123" s="3" t="s">
        <v>11</v>
      </c>
    </row>
    <row r="124" spans="1:3">
      <c r="A124" s="2" t="s">
        <v>135</v>
      </c>
      <c r="B124" s="2" t="s">
        <v>91</v>
      </c>
      <c r="C124" s="3" t="s">
        <v>11</v>
      </c>
    </row>
    <row r="125" spans="1:3">
      <c r="A125" s="2" t="s">
        <v>136</v>
      </c>
      <c r="B125" s="2" t="s">
        <v>91</v>
      </c>
      <c r="C125" s="3" t="s">
        <v>11</v>
      </c>
    </row>
    <row r="126" spans="1:3">
      <c r="A126" s="2" t="s">
        <v>137</v>
      </c>
      <c r="B126" s="2" t="s">
        <v>91</v>
      </c>
      <c r="C126" s="3" t="s">
        <v>11</v>
      </c>
    </row>
    <row r="127" spans="1:3">
      <c r="A127" s="2" t="s">
        <v>138</v>
      </c>
      <c r="B127" s="2" t="s">
        <v>91</v>
      </c>
      <c r="C127" s="3" t="s">
        <v>11</v>
      </c>
    </row>
    <row r="128" spans="1:3">
      <c r="A128" s="2" t="s">
        <v>139</v>
      </c>
      <c r="B128" s="2" t="s">
        <v>91</v>
      </c>
      <c r="C128" s="3" t="s">
        <v>11</v>
      </c>
    </row>
    <row r="129" spans="1:3">
      <c r="A129" s="2" t="s">
        <v>140</v>
      </c>
      <c r="B129" s="2" t="s">
        <v>91</v>
      </c>
      <c r="C129" s="3" t="s">
        <v>11</v>
      </c>
    </row>
    <row r="130" spans="1:3">
      <c r="A130" s="2" t="s">
        <v>141</v>
      </c>
      <c r="B130" s="2" t="s">
        <v>91</v>
      </c>
      <c r="C130" s="3" t="s">
        <v>11</v>
      </c>
    </row>
    <row r="131" spans="1:3">
      <c r="A131" s="2" t="s">
        <v>142</v>
      </c>
      <c r="B131" s="2" t="s">
        <v>91</v>
      </c>
      <c r="C131" s="3" t="s">
        <v>11</v>
      </c>
    </row>
    <row r="132" spans="1:3">
      <c r="A132" s="2" t="s">
        <v>143</v>
      </c>
      <c r="B132" s="2" t="s">
        <v>91</v>
      </c>
      <c r="C132" s="3" t="s">
        <v>11</v>
      </c>
    </row>
    <row r="133" spans="1:3">
      <c r="A133" s="2" t="s">
        <v>144</v>
      </c>
      <c r="B133" s="2" t="s">
        <v>91</v>
      </c>
      <c r="C133" s="3" t="s">
        <v>11</v>
      </c>
    </row>
    <row r="134" spans="1:3">
      <c r="A134" s="2" t="s">
        <v>145</v>
      </c>
      <c r="B134" s="2" t="s">
        <v>91</v>
      </c>
      <c r="C134" s="3" t="s">
        <v>11</v>
      </c>
    </row>
    <row r="135" spans="1:3">
      <c r="A135" s="2" t="s">
        <v>146</v>
      </c>
      <c r="B135" s="2" t="s">
        <v>91</v>
      </c>
      <c r="C135" s="3" t="s">
        <v>11</v>
      </c>
    </row>
    <row r="136" spans="1:3">
      <c r="A136" s="2" t="s">
        <v>147</v>
      </c>
      <c r="B136" s="2" t="s">
        <v>91</v>
      </c>
      <c r="C136" s="3" t="s">
        <v>11</v>
      </c>
    </row>
    <row r="137" spans="1:3">
      <c r="A137" s="2" t="s">
        <v>148</v>
      </c>
      <c r="B137" s="2" t="s">
        <v>91</v>
      </c>
      <c r="C137" s="3" t="s">
        <v>11</v>
      </c>
    </row>
    <row r="138" spans="1:3">
      <c r="A138" s="2" t="s">
        <v>149</v>
      </c>
      <c r="B138" s="2" t="s">
        <v>91</v>
      </c>
      <c r="C138" s="3" t="s">
        <v>11</v>
      </c>
    </row>
    <row r="139" spans="1:3">
      <c r="A139" s="2" t="s">
        <v>150</v>
      </c>
      <c r="B139" s="2" t="s">
        <v>91</v>
      </c>
      <c r="C139" s="3" t="s">
        <v>11</v>
      </c>
    </row>
    <row r="140" spans="1:3">
      <c r="A140" s="2" t="s">
        <v>151</v>
      </c>
      <c r="B140" s="2" t="s">
        <v>91</v>
      </c>
      <c r="C140" s="3" t="s">
        <v>11</v>
      </c>
    </row>
    <row r="141" spans="1:3">
      <c r="A141" s="2" t="s">
        <v>152</v>
      </c>
      <c r="B141" s="2" t="s">
        <v>91</v>
      </c>
      <c r="C141" s="3" t="s">
        <v>11</v>
      </c>
    </row>
    <row r="142" spans="1:3">
      <c r="A142" s="2" t="s">
        <v>153</v>
      </c>
      <c r="B142" s="2" t="s">
        <v>91</v>
      </c>
      <c r="C142" s="3" t="s">
        <v>11</v>
      </c>
    </row>
    <row r="143" spans="1:3">
      <c r="A143" s="2" t="s">
        <v>154</v>
      </c>
      <c r="B143" s="2" t="s">
        <v>91</v>
      </c>
      <c r="C143" s="3" t="s">
        <v>11</v>
      </c>
    </row>
    <row r="144" spans="1:3">
      <c r="A144" s="2" t="s">
        <v>155</v>
      </c>
      <c r="B144" s="2" t="s">
        <v>91</v>
      </c>
      <c r="C144" s="3" t="s">
        <v>11</v>
      </c>
    </row>
    <row r="145" spans="1:3">
      <c r="A145" s="2" t="s">
        <v>156</v>
      </c>
      <c r="B145" s="2" t="s">
        <v>91</v>
      </c>
      <c r="C145" s="3" t="s">
        <v>11</v>
      </c>
    </row>
    <row r="146" spans="1:3">
      <c r="A146" s="2" t="s">
        <v>157</v>
      </c>
      <c r="B146" s="2" t="s">
        <v>91</v>
      </c>
      <c r="C146" s="3" t="s">
        <v>11</v>
      </c>
    </row>
    <row r="147" spans="1:3">
      <c r="A147" s="2" t="s">
        <v>158</v>
      </c>
      <c r="B147" s="2" t="s">
        <v>91</v>
      </c>
      <c r="C147" s="3" t="s">
        <v>11</v>
      </c>
    </row>
    <row r="148" spans="1:3">
      <c r="A148" s="2" t="s">
        <v>159</v>
      </c>
      <c r="B148" s="2" t="s">
        <v>91</v>
      </c>
      <c r="C148" s="3" t="s">
        <v>11</v>
      </c>
    </row>
    <row r="149" spans="1:3">
      <c r="A149" s="2" t="s">
        <v>160</v>
      </c>
      <c r="B149" s="2" t="s">
        <v>91</v>
      </c>
      <c r="C149" s="3" t="s">
        <v>11</v>
      </c>
    </row>
    <row r="150" spans="1:3">
      <c r="A150" s="2" t="s">
        <v>161</v>
      </c>
      <c r="B150" s="2" t="s">
        <v>91</v>
      </c>
      <c r="C150" s="3" t="s">
        <v>11</v>
      </c>
    </row>
    <row r="151" spans="1:3">
      <c r="A151" s="2" t="s">
        <v>162</v>
      </c>
      <c r="B151" s="2" t="s">
        <v>91</v>
      </c>
      <c r="C151" s="3" t="s">
        <v>11</v>
      </c>
    </row>
    <row r="152" spans="1:3">
      <c r="A152" s="2" t="s">
        <v>163</v>
      </c>
      <c r="B152" s="2" t="s">
        <v>164</v>
      </c>
      <c r="C152" s="3" t="s">
        <v>11</v>
      </c>
    </row>
    <row r="153" spans="1:3">
      <c r="A153" s="2" t="s">
        <v>165</v>
      </c>
      <c r="B153" s="2" t="s">
        <v>164</v>
      </c>
      <c r="C153" s="3" t="s">
        <v>11</v>
      </c>
    </row>
    <row r="154" spans="1:3">
      <c r="A154" s="2" t="s">
        <v>166</v>
      </c>
      <c r="B154" s="2" t="s">
        <v>164</v>
      </c>
      <c r="C154" s="3" t="s">
        <v>11</v>
      </c>
    </row>
    <row r="155" spans="1:3">
      <c r="A155" s="2" t="s">
        <v>167</v>
      </c>
      <c r="B155" s="2" t="s">
        <v>164</v>
      </c>
      <c r="C155" s="3" t="s">
        <v>11</v>
      </c>
    </row>
    <row r="156" spans="1:3">
      <c r="A156" s="2" t="s">
        <v>168</v>
      </c>
      <c r="B156" s="2" t="s">
        <v>164</v>
      </c>
      <c r="C156" s="3" t="s">
        <v>11</v>
      </c>
    </row>
    <row r="157" spans="1:3">
      <c r="A157" s="2" t="s">
        <v>169</v>
      </c>
      <c r="B157" s="2" t="s">
        <v>164</v>
      </c>
      <c r="C157" s="3" t="s">
        <v>11</v>
      </c>
    </row>
    <row r="158" spans="1:3">
      <c r="A158" s="2" t="s">
        <v>170</v>
      </c>
      <c r="B158" s="2" t="s">
        <v>164</v>
      </c>
      <c r="C158" s="3" t="s">
        <v>11</v>
      </c>
    </row>
    <row r="159" spans="1:3">
      <c r="A159" s="2" t="s">
        <v>171</v>
      </c>
      <c r="B159" s="2" t="s">
        <v>164</v>
      </c>
      <c r="C159" s="3" t="s">
        <v>11</v>
      </c>
    </row>
    <row r="160" spans="1:3">
      <c r="A160" s="2" t="s">
        <v>172</v>
      </c>
      <c r="B160" s="2" t="s">
        <v>164</v>
      </c>
      <c r="C160" s="3" t="s">
        <v>11</v>
      </c>
    </row>
    <row r="161" spans="1:3">
      <c r="A161" s="2" t="s">
        <v>173</v>
      </c>
      <c r="B161" s="2" t="s">
        <v>164</v>
      </c>
      <c r="C161" s="3" t="s">
        <v>11</v>
      </c>
    </row>
    <row r="162" spans="1:3">
      <c r="A162" s="2" t="s">
        <v>174</v>
      </c>
      <c r="B162" s="2" t="s">
        <v>164</v>
      </c>
      <c r="C162" s="3" t="s">
        <v>11</v>
      </c>
    </row>
    <row r="163" spans="1:3">
      <c r="A163" s="2" t="s">
        <v>175</v>
      </c>
      <c r="B163" s="2" t="s">
        <v>164</v>
      </c>
      <c r="C163" s="3" t="s">
        <v>11</v>
      </c>
    </row>
    <row r="164" spans="1:3">
      <c r="A164" s="2" t="s">
        <v>176</v>
      </c>
      <c r="B164" s="2" t="s">
        <v>164</v>
      </c>
      <c r="C164" s="3" t="s">
        <v>11</v>
      </c>
    </row>
    <row r="165" spans="1:3">
      <c r="A165" s="2" t="s">
        <v>177</v>
      </c>
      <c r="B165" s="2" t="s">
        <v>164</v>
      </c>
      <c r="C165" s="3" t="s">
        <v>11</v>
      </c>
    </row>
    <row r="166" spans="1:3">
      <c r="A166" s="2" t="s">
        <v>178</v>
      </c>
      <c r="B166" s="2" t="s">
        <v>164</v>
      </c>
      <c r="C166" s="3" t="s">
        <v>11</v>
      </c>
    </row>
    <row r="167" spans="1:3">
      <c r="A167" s="2" t="s">
        <v>179</v>
      </c>
      <c r="B167" s="2" t="s">
        <v>164</v>
      </c>
      <c r="C167" s="3" t="s">
        <v>11</v>
      </c>
    </row>
    <row r="168" spans="1:3">
      <c r="A168" s="2" t="s">
        <v>180</v>
      </c>
      <c r="B168" s="2" t="s">
        <v>164</v>
      </c>
      <c r="C168" s="3" t="s">
        <v>11</v>
      </c>
    </row>
    <row r="169" spans="1:3">
      <c r="A169" s="2" t="s">
        <v>181</v>
      </c>
      <c r="B169" s="2" t="s">
        <v>164</v>
      </c>
      <c r="C169" s="3" t="s">
        <v>11</v>
      </c>
    </row>
    <row r="170" spans="1:3">
      <c r="A170" s="2" t="s">
        <v>182</v>
      </c>
      <c r="B170" s="2" t="s">
        <v>164</v>
      </c>
      <c r="C170" s="3" t="s">
        <v>11</v>
      </c>
    </row>
    <row r="171" spans="1:3">
      <c r="A171" s="2" t="s">
        <v>183</v>
      </c>
      <c r="B171" s="2" t="s">
        <v>164</v>
      </c>
      <c r="C171" s="3" t="s">
        <v>11</v>
      </c>
    </row>
    <row r="172" spans="1:3">
      <c r="A172" s="2" t="s">
        <v>184</v>
      </c>
      <c r="B172" s="2" t="s">
        <v>164</v>
      </c>
      <c r="C172" s="3" t="s">
        <v>11</v>
      </c>
    </row>
    <row r="173" spans="1:3">
      <c r="A173" s="2" t="s">
        <v>185</v>
      </c>
      <c r="B173" s="2" t="s">
        <v>164</v>
      </c>
      <c r="C173" s="3" t="s">
        <v>11</v>
      </c>
    </row>
    <row r="174" spans="1:3">
      <c r="A174" s="2" t="s">
        <v>186</v>
      </c>
      <c r="B174" s="2" t="s">
        <v>164</v>
      </c>
      <c r="C174" s="3" t="s">
        <v>11</v>
      </c>
    </row>
    <row r="175" spans="1:3">
      <c r="A175" s="2" t="s">
        <v>187</v>
      </c>
      <c r="B175" s="2" t="s">
        <v>164</v>
      </c>
      <c r="C175" s="3" t="s">
        <v>11</v>
      </c>
    </row>
    <row r="176" spans="1:3">
      <c r="A176" s="2" t="s">
        <v>188</v>
      </c>
      <c r="B176" s="2" t="s">
        <v>164</v>
      </c>
      <c r="C176" s="3" t="s">
        <v>11</v>
      </c>
    </row>
    <row r="177" spans="1:3">
      <c r="A177" s="2" t="s">
        <v>189</v>
      </c>
      <c r="B177" s="2" t="s">
        <v>164</v>
      </c>
      <c r="C177" s="3" t="s">
        <v>11</v>
      </c>
    </row>
    <row r="178" spans="1:3">
      <c r="A178" s="2" t="s">
        <v>190</v>
      </c>
      <c r="B178" s="2" t="s">
        <v>164</v>
      </c>
      <c r="C178" s="3" t="s">
        <v>11</v>
      </c>
    </row>
    <row r="179" spans="1:3">
      <c r="A179" s="2" t="s">
        <v>191</v>
      </c>
      <c r="B179" s="2" t="s">
        <v>164</v>
      </c>
      <c r="C179" s="3" t="s">
        <v>11</v>
      </c>
    </row>
    <row r="180" spans="1:3">
      <c r="A180" s="2" t="s">
        <v>192</v>
      </c>
      <c r="B180" s="2" t="s">
        <v>164</v>
      </c>
      <c r="C180" s="3" t="s">
        <v>11</v>
      </c>
    </row>
    <row r="181" spans="1:3">
      <c r="A181" s="2" t="s">
        <v>193</v>
      </c>
      <c r="B181" s="2" t="s">
        <v>164</v>
      </c>
      <c r="C181" s="3" t="s">
        <v>11</v>
      </c>
    </row>
    <row r="182" spans="1:3">
      <c r="A182" s="2" t="s">
        <v>194</v>
      </c>
      <c r="B182" s="2" t="s">
        <v>164</v>
      </c>
      <c r="C182" s="3" t="s">
        <v>11</v>
      </c>
    </row>
    <row r="183" spans="1:3">
      <c r="A183" s="2" t="s">
        <v>195</v>
      </c>
      <c r="B183" s="2" t="s">
        <v>164</v>
      </c>
      <c r="C183" s="3" t="s">
        <v>11</v>
      </c>
    </row>
    <row r="184" spans="1:3">
      <c r="A184" s="2" t="s">
        <v>196</v>
      </c>
      <c r="B184" s="2" t="s">
        <v>164</v>
      </c>
      <c r="C184" s="3" t="s">
        <v>11</v>
      </c>
    </row>
    <row r="185" spans="1:3">
      <c r="A185" s="2" t="s">
        <v>197</v>
      </c>
      <c r="B185" s="2" t="s">
        <v>164</v>
      </c>
      <c r="C185" s="3" t="s">
        <v>11</v>
      </c>
    </row>
    <row r="186" spans="1:3">
      <c r="A186" s="2" t="s">
        <v>198</v>
      </c>
      <c r="B186" s="2" t="s">
        <v>164</v>
      </c>
      <c r="C186" s="3" t="s">
        <v>11</v>
      </c>
    </row>
    <row r="187" spans="1:3">
      <c r="A187" s="2" t="s">
        <v>199</v>
      </c>
      <c r="B187" s="2" t="s">
        <v>164</v>
      </c>
      <c r="C187" s="3" t="s">
        <v>11</v>
      </c>
    </row>
    <row r="188" spans="1:3">
      <c r="A188" s="2" t="s">
        <v>200</v>
      </c>
      <c r="B188" s="2" t="s">
        <v>164</v>
      </c>
      <c r="C188" s="3" t="s">
        <v>11</v>
      </c>
    </row>
    <row r="189" spans="1:3">
      <c r="A189" s="2" t="s">
        <v>201</v>
      </c>
      <c r="B189" s="2" t="s">
        <v>164</v>
      </c>
      <c r="C189" s="3" t="s">
        <v>11</v>
      </c>
    </row>
    <row r="190" spans="1:3">
      <c r="A190" s="2" t="s">
        <v>202</v>
      </c>
      <c r="B190" s="2" t="s">
        <v>164</v>
      </c>
      <c r="C190" s="3" t="s">
        <v>11</v>
      </c>
    </row>
    <row r="191" spans="1:3">
      <c r="A191" s="2" t="s">
        <v>203</v>
      </c>
      <c r="B191" s="2" t="s">
        <v>164</v>
      </c>
      <c r="C191" s="3" t="s">
        <v>11</v>
      </c>
    </row>
    <row r="192" spans="1:3">
      <c r="A192" s="2" t="s">
        <v>204</v>
      </c>
      <c r="B192" s="2" t="s">
        <v>164</v>
      </c>
      <c r="C192" s="3" t="s">
        <v>11</v>
      </c>
    </row>
    <row r="193" spans="1:3">
      <c r="A193" s="2" t="s">
        <v>205</v>
      </c>
      <c r="B193" s="2" t="s">
        <v>164</v>
      </c>
      <c r="C193" s="3" t="s">
        <v>11</v>
      </c>
    </row>
    <row r="194" spans="1:3">
      <c r="A194" s="2" t="s">
        <v>206</v>
      </c>
      <c r="B194" s="2" t="s">
        <v>164</v>
      </c>
      <c r="C194" s="3" t="s">
        <v>11</v>
      </c>
    </row>
    <row r="195" spans="1:3">
      <c r="A195" s="2" t="s">
        <v>207</v>
      </c>
      <c r="B195" s="2" t="s">
        <v>164</v>
      </c>
      <c r="C195" s="3" t="s">
        <v>11</v>
      </c>
    </row>
    <row r="196" spans="1:3">
      <c r="A196" s="2" t="s">
        <v>208</v>
      </c>
      <c r="B196" s="2" t="s">
        <v>164</v>
      </c>
      <c r="C196" s="3" t="s">
        <v>11</v>
      </c>
    </row>
    <row r="197" spans="1:3">
      <c r="A197" s="2" t="s">
        <v>209</v>
      </c>
      <c r="B197" s="2" t="s">
        <v>164</v>
      </c>
      <c r="C197" s="3" t="s">
        <v>11</v>
      </c>
    </row>
    <row r="198" spans="1:3">
      <c r="A198" s="2" t="s">
        <v>210</v>
      </c>
      <c r="B198" s="2" t="s">
        <v>164</v>
      </c>
      <c r="C198" s="3" t="s">
        <v>11</v>
      </c>
    </row>
    <row r="199" spans="1:3">
      <c r="A199" s="2" t="s">
        <v>211</v>
      </c>
      <c r="B199" s="2" t="s">
        <v>164</v>
      </c>
      <c r="C199" s="3" t="s">
        <v>11</v>
      </c>
    </row>
    <row r="200" spans="1:3">
      <c r="A200" s="2" t="s">
        <v>212</v>
      </c>
      <c r="B200" s="2" t="s">
        <v>164</v>
      </c>
      <c r="C200" s="3" t="s">
        <v>11</v>
      </c>
    </row>
    <row r="201" spans="1:3">
      <c r="A201" s="2" t="s">
        <v>213</v>
      </c>
      <c r="B201" s="2" t="s">
        <v>164</v>
      </c>
      <c r="C201" s="3" t="s">
        <v>11</v>
      </c>
    </row>
    <row r="202" spans="1:3">
      <c r="A202" s="2" t="s">
        <v>214</v>
      </c>
      <c r="B202" s="2" t="s">
        <v>164</v>
      </c>
      <c r="C202" s="3" t="s">
        <v>11</v>
      </c>
    </row>
    <row r="203" spans="1:3">
      <c r="A203" s="2" t="s">
        <v>215</v>
      </c>
      <c r="B203" s="2" t="s">
        <v>164</v>
      </c>
      <c r="C203" s="3" t="s">
        <v>11</v>
      </c>
    </row>
    <row r="204" spans="1:3">
      <c r="A204" s="2" t="s">
        <v>216</v>
      </c>
      <c r="B204" s="2" t="s">
        <v>164</v>
      </c>
      <c r="C204" s="3" t="s">
        <v>11</v>
      </c>
    </row>
    <row r="205" spans="1:3">
      <c r="A205" s="2" t="s">
        <v>217</v>
      </c>
      <c r="B205" s="2" t="s">
        <v>164</v>
      </c>
      <c r="C205" s="3" t="s">
        <v>11</v>
      </c>
    </row>
    <row r="206" spans="1:3">
      <c r="A206" s="2" t="s">
        <v>218</v>
      </c>
      <c r="B206" s="2" t="s">
        <v>164</v>
      </c>
      <c r="C206" s="3" t="s">
        <v>11</v>
      </c>
    </row>
    <row r="207" spans="1:3">
      <c r="A207" s="2" t="s">
        <v>219</v>
      </c>
      <c r="B207" s="2" t="s">
        <v>164</v>
      </c>
      <c r="C207" s="3" t="s">
        <v>11</v>
      </c>
    </row>
    <row r="208" spans="1:3">
      <c r="A208" s="2" t="s">
        <v>220</v>
      </c>
      <c r="B208" s="2" t="s">
        <v>164</v>
      </c>
      <c r="C208" s="3" t="s">
        <v>11</v>
      </c>
    </row>
    <row r="209" spans="1:3">
      <c r="A209" s="2" t="s">
        <v>221</v>
      </c>
      <c r="B209" s="2" t="s">
        <v>164</v>
      </c>
      <c r="C209" s="3" t="s">
        <v>11</v>
      </c>
    </row>
    <row r="210" spans="1:3">
      <c r="A210" s="2" t="s">
        <v>222</v>
      </c>
      <c r="B210" s="2" t="s">
        <v>164</v>
      </c>
      <c r="C210" s="3" t="s">
        <v>11</v>
      </c>
    </row>
    <row r="211" spans="1:3">
      <c r="A211" s="2" t="s">
        <v>223</v>
      </c>
      <c r="B211" s="2" t="s">
        <v>164</v>
      </c>
      <c r="C211" s="3" t="s">
        <v>11</v>
      </c>
    </row>
    <row r="212" spans="1:3">
      <c r="A212" s="2" t="s">
        <v>224</v>
      </c>
      <c r="B212" s="2" t="s">
        <v>164</v>
      </c>
      <c r="C212" s="3" t="s">
        <v>11</v>
      </c>
    </row>
    <row r="213" spans="1:3">
      <c r="A213" s="2" t="s">
        <v>225</v>
      </c>
      <c r="B213" s="2" t="s">
        <v>164</v>
      </c>
      <c r="C213" s="3" t="s">
        <v>11</v>
      </c>
    </row>
    <row r="214" spans="1:3">
      <c r="A214" s="2" t="s">
        <v>226</v>
      </c>
      <c r="B214" s="2" t="s">
        <v>164</v>
      </c>
      <c r="C214" s="3" t="s">
        <v>11</v>
      </c>
    </row>
    <row r="215" spans="1:3">
      <c r="A215" s="2" t="s">
        <v>227</v>
      </c>
      <c r="B215" s="2" t="s">
        <v>164</v>
      </c>
      <c r="C215" s="3" t="s">
        <v>11</v>
      </c>
    </row>
    <row r="216" spans="1:3">
      <c r="A216" s="2" t="s">
        <v>228</v>
      </c>
      <c r="B216" s="2" t="s">
        <v>164</v>
      </c>
      <c r="C216" s="3" t="s">
        <v>11</v>
      </c>
    </row>
    <row r="217" spans="1:3">
      <c r="A217" s="2" t="s">
        <v>229</v>
      </c>
      <c r="B217" s="2" t="s">
        <v>164</v>
      </c>
      <c r="C217" s="3" t="s">
        <v>11</v>
      </c>
    </row>
    <row r="218" spans="1:3">
      <c r="A218" s="2" t="s">
        <v>230</v>
      </c>
      <c r="B218" s="2" t="s">
        <v>164</v>
      </c>
      <c r="C218" s="3" t="s">
        <v>11</v>
      </c>
    </row>
    <row r="219" spans="1:3">
      <c r="A219" s="2" t="s">
        <v>231</v>
      </c>
      <c r="B219" s="2" t="s">
        <v>164</v>
      </c>
      <c r="C219" s="3" t="s">
        <v>11</v>
      </c>
    </row>
    <row r="220" spans="1:3">
      <c r="A220" s="2" t="s">
        <v>232</v>
      </c>
      <c r="B220" s="2" t="s">
        <v>164</v>
      </c>
      <c r="C220" s="3" t="s">
        <v>11</v>
      </c>
    </row>
    <row r="221" spans="1:3">
      <c r="A221" s="2" t="s">
        <v>233</v>
      </c>
      <c r="B221" s="2" t="s">
        <v>164</v>
      </c>
      <c r="C221" s="3" t="s">
        <v>11</v>
      </c>
    </row>
    <row r="222" spans="1:3">
      <c r="A222" s="2" t="s">
        <v>234</v>
      </c>
      <c r="B222" s="2" t="s">
        <v>164</v>
      </c>
      <c r="C222" s="3" t="s">
        <v>11</v>
      </c>
    </row>
    <row r="223" spans="1:3">
      <c r="A223" s="2" t="s">
        <v>235</v>
      </c>
      <c r="B223" s="2" t="s">
        <v>164</v>
      </c>
      <c r="C223" s="3" t="s">
        <v>11</v>
      </c>
    </row>
    <row r="224" spans="1:3">
      <c r="A224" s="2" t="s">
        <v>236</v>
      </c>
      <c r="B224" s="2" t="s">
        <v>164</v>
      </c>
      <c r="C224" s="3" t="s">
        <v>11</v>
      </c>
    </row>
    <row r="225" spans="1:3">
      <c r="A225" s="2" t="s">
        <v>237</v>
      </c>
      <c r="B225" s="2" t="s">
        <v>164</v>
      </c>
      <c r="C225" s="3" t="s">
        <v>11</v>
      </c>
    </row>
    <row r="226" spans="1:3">
      <c r="A226" s="2" t="s">
        <v>238</v>
      </c>
      <c r="B226" s="2" t="s">
        <v>164</v>
      </c>
      <c r="C226" s="3" t="s">
        <v>11</v>
      </c>
    </row>
    <row r="227" spans="1:3">
      <c r="A227" s="2" t="s">
        <v>239</v>
      </c>
      <c r="B227" s="2" t="s">
        <v>164</v>
      </c>
      <c r="C227" s="3" t="s">
        <v>11</v>
      </c>
    </row>
    <row r="228" spans="1:3">
      <c r="A228" s="2" t="s">
        <v>240</v>
      </c>
      <c r="B228" s="2" t="s">
        <v>164</v>
      </c>
      <c r="C228" s="3" t="s">
        <v>11</v>
      </c>
    </row>
    <row r="229" spans="1:3">
      <c r="A229" s="2" t="s">
        <v>241</v>
      </c>
      <c r="B229" s="2" t="s">
        <v>164</v>
      </c>
      <c r="C229" s="3" t="s">
        <v>11</v>
      </c>
    </row>
    <row r="230" spans="1:3">
      <c r="A230" s="2" t="s">
        <v>242</v>
      </c>
      <c r="B230" s="2" t="s">
        <v>164</v>
      </c>
      <c r="C230" s="3" t="s">
        <v>11</v>
      </c>
    </row>
  </sheetData>
  <phoneticPr fontId="4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894688-F65B-49CC-9FFF-6D70383C5F9D}">
  <dimension ref="A1:G286"/>
  <sheetViews>
    <sheetView topLeftCell="A40" workbookViewId="0">
      <selection activeCell="C19" sqref="C19:G26"/>
    </sheetView>
  </sheetViews>
  <sheetFormatPr defaultRowHeight="13.5"/>
  <cols>
    <col min="2" max="2" width="15.625" customWidth="1"/>
  </cols>
  <sheetData>
    <row r="1" spans="1:7" s="7" customFormat="1" ht="16.5">
      <c r="A1" s="7" t="s">
        <v>245</v>
      </c>
      <c r="B1" s="8" t="s">
        <v>246</v>
      </c>
      <c r="C1" s="8" t="s">
        <v>247</v>
      </c>
      <c r="D1" s="8" t="s">
        <v>316</v>
      </c>
      <c r="E1" s="8" t="s">
        <v>248</v>
      </c>
      <c r="F1" s="8" t="s">
        <v>249</v>
      </c>
    </row>
    <row r="2" spans="1:7" s="7" customFormat="1" ht="16.5">
      <c r="A2" s="7" t="s">
        <v>250</v>
      </c>
      <c r="B2" s="8" t="s">
        <v>250</v>
      </c>
      <c r="C2" s="8" t="s">
        <v>251</v>
      </c>
      <c r="D2" s="8" t="s">
        <v>250</v>
      </c>
      <c r="E2" s="8" t="s">
        <v>252</v>
      </c>
      <c r="F2" s="8" t="s">
        <v>250</v>
      </c>
    </row>
    <row r="3" spans="1:7" s="7" customFormat="1" ht="16.5">
      <c r="A3" s="7" t="s">
        <v>253</v>
      </c>
      <c r="B3" s="8"/>
      <c r="C3" s="8"/>
      <c r="D3" s="8"/>
      <c r="E3" s="8"/>
      <c r="F3" s="8" t="s">
        <v>254</v>
      </c>
    </row>
    <row r="4" spans="1:7" s="7" customFormat="1" ht="16.5">
      <c r="A4" s="9" t="s">
        <v>255</v>
      </c>
      <c r="B4" s="10" t="s">
        <v>315</v>
      </c>
      <c r="C4" s="10" t="s">
        <v>256</v>
      </c>
      <c r="D4" s="10" t="s">
        <v>257</v>
      </c>
      <c r="E4" s="10" t="s">
        <v>258</v>
      </c>
      <c r="F4" s="10" t="s">
        <v>259</v>
      </c>
    </row>
    <row r="5" spans="1:7" s="7" customFormat="1" ht="16.5">
      <c r="A5" s="7">
        <v>7794</v>
      </c>
      <c r="B5" s="11">
        <v>601</v>
      </c>
      <c r="C5" s="12" t="s">
        <v>260</v>
      </c>
      <c r="D5" s="11">
        <v>23</v>
      </c>
      <c r="E5" s="11" t="s">
        <v>261</v>
      </c>
      <c r="F5" s="13">
        <v>60</v>
      </c>
    </row>
    <row r="6" spans="1:7" s="7" customFormat="1" ht="16.5">
      <c r="A6" s="7">
        <v>7795</v>
      </c>
      <c r="B6" s="11">
        <v>602</v>
      </c>
      <c r="C6" s="12" t="s">
        <v>262</v>
      </c>
      <c r="D6" s="11">
        <v>23</v>
      </c>
      <c r="E6" s="11" t="s">
        <v>261</v>
      </c>
      <c r="F6" s="13">
        <v>380</v>
      </c>
    </row>
    <row r="7" spans="1:7" s="7" customFormat="1" ht="16.5">
      <c r="A7" s="7">
        <v>7796</v>
      </c>
      <c r="B7" s="11">
        <v>603</v>
      </c>
      <c r="C7" s="12" t="s">
        <v>263</v>
      </c>
      <c r="D7" s="11">
        <v>23</v>
      </c>
      <c r="E7" s="11" t="s">
        <v>261</v>
      </c>
      <c r="F7" s="13">
        <v>5500</v>
      </c>
    </row>
    <row r="8" spans="1:7" s="7" customFormat="1" ht="16.5">
      <c r="A8" s="7">
        <v>7797</v>
      </c>
      <c r="B8" s="11">
        <v>604</v>
      </c>
      <c r="C8" s="12" t="s">
        <v>264</v>
      </c>
      <c r="D8" s="11">
        <v>23</v>
      </c>
      <c r="E8" s="11" t="s">
        <v>261</v>
      </c>
      <c r="F8" s="13">
        <v>14500</v>
      </c>
    </row>
    <row r="9" spans="1:7" s="7" customFormat="1" ht="16.5">
      <c r="A9" s="7">
        <v>7798</v>
      </c>
      <c r="B9" s="11">
        <v>605</v>
      </c>
      <c r="C9" s="12" t="s">
        <v>265</v>
      </c>
      <c r="D9" s="11">
        <v>23</v>
      </c>
      <c r="E9" s="11" t="s">
        <v>261</v>
      </c>
      <c r="F9" s="13">
        <v>45000</v>
      </c>
    </row>
    <row r="10" spans="1:7" s="7" customFormat="1" ht="16.5">
      <c r="A10" s="7">
        <v>7799</v>
      </c>
      <c r="B10" s="14">
        <v>405140</v>
      </c>
      <c r="C10" s="14" t="s">
        <v>3</v>
      </c>
      <c r="D10" s="14">
        <v>601</v>
      </c>
      <c r="E10" s="14" t="s">
        <v>266</v>
      </c>
      <c r="F10" s="15">
        <v>20970</v>
      </c>
      <c r="G10" s="7" t="str">
        <f>VLOOKUP(C10,将池品质对照!A:C,3,0)</f>
        <v>传说</v>
      </c>
    </row>
    <row r="11" spans="1:7" s="7" customFormat="1" ht="16.5">
      <c r="A11" s="7">
        <v>7800</v>
      </c>
      <c r="B11" s="14">
        <v>405150</v>
      </c>
      <c r="C11" s="14" t="s">
        <v>17</v>
      </c>
      <c r="D11" s="14">
        <v>601</v>
      </c>
      <c r="E11" s="14" t="s">
        <v>266</v>
      </c>
      <c r="F11" s="15">
        <v>15350</v>
      </c>
      <c r="G11" s="7" t="str">
        <f>VLOOKUP(C11,将池品质对照!A:C,3,0)</f>
        <v>限定</v>
      </c>
    </row>
    <row r="12" spans="1:7" s="7" customFormat="1" ht="16.5">
      <c r="A12" s="7">
        <v>7801</v>
      </c>
      <c r="B12" s="14">
        <v>405000</v>
      </c>
      <c r="C12" s="14" t="s">
        <v>13</v>
      </c>
      <c r="D12" s="14">
        <v>601</v>
      </c>
      <c r="E12" s="14" t="s">
        <v>266</v>
      </c>
      <c r="F12" s="15">
        <v>15850</v>
      </c>
      <c r="G12" s="7" t="str">
        <f>VLOOKUP(C12,将池品质对照!A:C,3,0)</f>
        <v>限定</v>
      </c>
    </row>
    <row r="13" spans="1:7" s="7" customFormat="1" ht="16.5">
      <c r="A13" s="7">
        <v>7802</v>
      </c>
      <c r="B13" s="14">
        <v>405160</v>
      </c>
      <c r="C13" s="14" t="s">
        <v>18</v>
      </c>
      <c r="D13" s="14">
        <v>601</v>
      </c>
      <c r="E13" s="14" t="s">
        <v>266</v>
      </c>
      <c r="F13" s="15">
        <v>4590</v>
      </c>
      <c r="G13" s="7" t="str">
        <f>VLOOKUP(C13,将池品质对照!A:C,3,0)</f>
        <v>限定</v>
      </c>
    </row>
    <row r="14" spans="1:7" s="7" customFormat="1" ht="16.5">
      <c r="A14" s="7">
        <v>7803</v>
      </c>
      <c r="B14" s="14">
        <v>405010</v>
      </c>
      <c r="C14" s="14" t="s">
        <v>16</v>
      </c>
      <c r="D14" s="14">
        <v>601</v>
      </c>
      <c r="E14" s="14" t="s">
        <v>266</v>
      </c>
      <c r="F14" s="15">
        <v>2480</v>
      </c>
      <c r="G14" s="7" t="str">
        <f>VLOOKUP(C14,将池品质对照!A:C,3,0)</f>
        <v>限定</v>
      </c>
    </row>
    <row r="15" spans="1:7" s="7" customFormat="1" ht="16.5">
      <c r="A15" s="7">
        <v>7804</v>
      </c>
      <c r="B15" s="14">
        <v>405180</v>
      </c>
      <c r="C15" s="14" t="s">
        <v>19</v>
      </c>
      <c r="D15" s="14">
        <v>601</v>
      </c>
      <c r="E15" s="14" t="s">
        <v>266</v>
      </c>
      <c r="F15" s="15">
        <v>5610</v>
      </c>
      <c r="G15" s="7" t="str">
        <f>VLOOKUP(C15,将池品质对照!A:C,3,0)</f>
        <v>限定</v>
      </c>
    </row>
    <row r="16" spans="1:7" s="7" customFormat="1" ht="16.5">
      <c r="A16" s="7">
        <v>7805</v>
      </c>
      <c r="B16" s="14">
        <v>407040</v>
      </c>
      <c r="C16" s="14" t="s">
        <v>20</v>
      </c>
      <c r="D16" s="14">
        <v>601</v>
      </c>
      <c r="E16" s="14" t="s">
        <v>266</v>
      </c>
      <c r="F16" s="15">
        <v>12550</v>
      </c>
      <c r="G16" s="7" t="str">
        <f>VLOOKUP(C16,将池品质对照!A:C,3,0)</f>
        <v>限定</v>
      </c>
    </row>
    <row r="17" spans="1:7" s="7" customFormat="1" ht="16.5">
      <c r="A17" s="7">
        <v>7806</v>
      </c>
      <c r="B17" s="14">
        <v>405050</v>
      </c>
      <c r="C17" s="14" t="s">
        <v>267</v>
      </c>
      <c r="D17" s="14">
        <v>601</v>
      </c>
      <c r="E17" s="14" t="s">
        <v>266</v>
      </c>
      <c r="F17" s="15">
        <v>15850</v>
      </c>
      <c r="G17" s="7" t="e">
        <f>VLOOKUP(C17,将池品质对照!A:C,3,0)</f>
        <v>#N/A</v>
      </c>
    </row>
    <row r="18" spans="1:7" s="7" customFormat="1" ht="16.5">
      <c r="A18" s="7">
        <v>7807</v>
      </c>
      <c r="B18" s="14">
        <v>405200</v>
      </c>
      <c r="C18" s="14" t="s">
        <v>21</v>
      </c>
      <c r="D18" s="14">
        <v>601</v>
      </c>
      <c r="E18" s="14" t="s">
        <v>266</v>
      </c>
      <c r="F18" s="15">
        <v>6750</v>
      </c>
      <c r="G18" s="7" t="str">
        <f>VLOOKUP(C18,将池品质对照!A:C,3,0)</f>
        <v>限定</v>
      </c>
    </row>
    <row r="19" spans="1:7" s="16" customFormat="1" ht="16.5">
      <c r="A19" s="7">
        <v>7808</v>
      </c>
      <c r="B19" s="16">
        <v>405090</v>
      </c>
      <c r="C19" s="17" t="s">
        <v>6</v>
      </c>
      <c r="D19" s="17">
        <v>602</v>
      </c>
      <c r="E19" s="17" t="s">
        <v>266</v>
      </c>
      <c r="F19" s="18">
        <v>2160</v>
      </c>
      <c r="G19" s="7" t="str">
        <f>VLOOKUP(C19,将池品质对照!A:C,3,0)</f>
        <v>史诗</v>
      </c>
    </row>
    <row r="20" spans="1:7" s="16" customFormat="1" ht="16.5">
      <c r="A20" s="7">
        <v>7809</v>
      </c>
      <c r="B20" s="16">
        <v>405030</v>
      </c>
      <c r="C20" s="17" t="s">
        <v>268</v>
      </c>
      <c r="D20" s="17">
        <v>602</v>
      </c>
      <c r="E20" s="17" t="s">
        <v>266</v>
      </c>
      <c r="F20" s="18">
        <v>5410</v>
      </c>
      <c r="G20" s="7" t="e">
        <f>VLOOKUP(C20,将池品质对照!A:C,3,0)</f>
        <v>#N/A</v>
      </c>
    </row>
    <row r="21" spans="1:7" s="16" customFormat="1" ht="16.5">
      <c r="A21" s="7">
        <v>7810</v>
      </c>
      <c r="B21" s="16">
        <v>405060</v>
      </c>
      <c r="C21" s="17" t="s">
        <v>269</v>
      </c>
      <c r="D21" s="17">
        <v>602</v>
      </c>
      <c r="E21" s="17" t="s">
        <v>266</v>
      </c>
      <c r="F21" s="18">
        <v>1210</v>
      </c>
      <c r="G21" s="7" t="e">
        <f>VLOOKUP(C21,将池品质对照!A:C,3,0)</f>
        <v>#N/A</v>
      </c>
    </row>
    <row r="22" spans="1:7" s="16" customFormat="1" ht="16.5">
      <c r="A22" s="7">
        <v>7811</v>
      </c>
      <c r="B22" s="16">
        <v>405100</v>
      </c>
      <c r="C22" s="17" t="s">
        <v>270</v>
      </c>
      <c r="D22" s="17">
        <v>602</v>
      </c>
      <c r="E22" s="17" t="s">
        <v>266</v>
      </c>
      <c r="F22" s="18">
        <v>7490</v>
      </c>
      <c r="G22" s="7" t="e">
        <f>VLOOKUP(C22,将池品质对照!A:C,3,0)</f>
        <v>#N/A</v>
      </c>
    </row>
    <row r="23" spans="1:7" s="16" customFormat="1" ht="16.5">
      <c r="A23" s="7">
        <v>7812</v>
      </c>
      <c r="B23" s="16">
        <v>405070</v>
      </c>
      <c r="C23" s="17" t="s">
        <v>271</v>
      </c>
      <c r="D23" s="17">
        <v>602</v>
      </c>
      <c r="E23" s="17" t="s">
        <v>266</v>
      </c>
      <c r="F23" s="18">
        <v>4400</v>
      </c>
      <c r="G23" s="7" t="e">
        <f>VLOOKUP(C23,将池品质对照!A:C,3,0)</f>
        <v>#N/A</v>
      </c>
    </row>
    <row r="24" spans="1:7" s="16" customFormat="1" ht="16.5">
      <c r="A24" s="7">
        <v>7813</v>
      </c>
      <c r="B24" s="16">
        <v>405220</v>
      </c>
      <c r="C24" s="17" t="s">
        <v>272</v>
      </c>
      <c r="D24" s="17">
        <v>602</v>
      </c>
      <c r="E24" s="17" t="s">
        <v>266</v>
      </c>
      <c r="F24" s="18">
        <v>130</v>
      </c>
      <c r="G24" s="7" t="e">
        <f>VLOOKUP(C24,将池品质对照!A:C,3,0)</f>
        <v>#N/A</v>
      </c>
    </row>
    <row r="25" spans="1:7" s="16" customFormat="1" ht="16.5">
      <c r="A25" s="7">
        <v>7814</v>
      </c>
      <c r="B25" s="16">
        <v>405210</v>
      </c>
      <c r="C25" s="17" t="s">
        <v>273</v>
      </c>
      <c r="D25" s="17">
        <v>602</v>
      </c>
      <c r="E25" s="17" t="s">
        <v>266</v>
      </c>
      <c r="F25" s="18">
        <v>2620</v>
      </c>
      <c r="G25" s="7" t="e">
        <f>VLOOKUP(C25,将池品质对照!A:C,3,0)</f>
        <v>#N/A</v>
      </c>
    </row>
    <row r="26" spans="1:7" s="16" customFormat="1" ht="16.5">
      <c r="A26" s="7">
        <v>7815</v>
      </c>
      <c r="B26" s="16">
        <v>408030</v>
      </c>
      <c r="C26" s="17" t="s">
        <v>274</v>
      </c>
      <c r="D26" s="17">
        <v>602</v>
      </c>
      <c r="E26" s="17" t="s">
        <v>266</v>
      </c>
      <c r="F26" s="18">
        <v>1160</v>
      </c>
      <c r="G26" s="7" t="e">
        <f>VLOOKUP(C26,将池品质对照!A:C,3,0)</f>
        <v>#N/A</v>
      </c>
    </row>
    <row r="27" spans="1:7" s="16" customFormat="1" ht="16.5">
      <c r="A27" s="7">
        <v>7816</v>
      </c>
      <c r="B27" s="16">
        <v>406530</v>
      </c>
      <c r="C27" s="17" t="s">
        <v>275</v>
      </c>
      <c r="D27" s="17">
        <v>602</v>
      </c>
      <c r="E27" s="17" t="s">
        <v>266</v>
      </c>
      <c r="F27" s="18">
        <v>1680</v>
      </c>
      <c r="G27" s="7" t="e">
        <f>VLOOKUP(C27,将池品质对照!A:C,3,0)</f>
        <v>#N/A</v>
      </c>
    </row>
    <row r="28" spans="1:7" s="16" customFormat="1" ht="16.5">
      <c r="A28" s="7">
        <v>7817</v>
      </c>
      <c r="B28" s="16">
        <v>405255</v>
      </c>
      <c r="C28" s="17" t="s">
        <v>22</v>
      </c>
      <c r="D28" s="17">
        <v>602</v>
      </c>
      <c r="E28" s="17" t="s">
        <v>266</v>
      </c>
      <c r="F28" s="18">
        <v>3370</v>
      </c>
      <c r="G28" s="7" t="str">
        <f>VLOOKUP(C28,将池品质对照!A:C,3,0)</f>
        <v>传说</v>
      </c>
    </row>
    <row r="29" spans="1:7" s="16" customFormat="1" ht="16.5">
      <c r="A29" s="7">
        <v>7818</v>
      </c>
      <c r="B29" s="16">
        <v>405260</v>
      </c>
      <c r="C29" s="17" t="s">
        <v>30</v>
      </c>
      <c r="D29" s="17">
        <v>602</v>
      </c>
      <c r="E29" s="17" t="s">
        <v>266</v>
      </c>
      <c r="F29" s="18">
        <v>1420</v>
      </c>
      <c r="G29" s="7" t="str">
        <f>VLOOKUP(C29,将池品质对照!A:C,3,0)</f>
        <v>传说</v>
      </c>
    </row>
    <row r="30" spans="1:7" s="16" customFormat="1" ht="16.5">
      <c r="A30" s="7">
        <v>7819</v>
      </c>
      <c r="B30" s="16">
        <v>408020</v>
      </c>
      <c r="C30" s="17" t="s">
        <v>36</v>
      </c>
      <c r="D30" s="17">
        <v>602</v>
      </c>
      <c r="E30" s="17" t="s">
        <v>266</v>
      </c>
      <c r="F30" s="18">
        <v>3900</v>
      </c>
      <c r="G30" s="7" t="str">
        <f>VLOOKUP(C30,将池品质对照!A:C,3,0)</f>
        <v>传说</v>
      </c>
    </row>
    <row r="31" spans="1:7" s="16" customFormat="1" ht="16.5">
      <c r="A31" s="7">
        <v>7820</v>
      </c>
      <c r="B31" s="17">
        <v>405280</v>
      </c>
      <c r="C31" s="17" t="s">
        <v>42</v>
      </c>
      <c r="D31" s="17">
        <v>602</v>
      </c>
      <c r="E31" s="17" t="s">
        <v>266</v>
      </c>
      <c r="F31" s="18">
        <v>9460</v>
      </c>
      <c r="G31" s="7" t="str">
        <f>VLOOKUP(C31,将池品质对照!A:C,3,0)</f>
        <v>史诗</v>
      </c>
    </row>
    <row r="32" spans="1:7" s="16" customFormat="1" ht="16.5">
      <c r="A32" s="7">
        <v>7821</v>
      </c>
      <c r="B32" s="16">
        <v>408010</v>
      </c>
      <c r="C32" s="17" t="s">
        <v>47</v>
      </c>
      <c r="D32" s="17">
        <v>602</v>
      </c>
      <c r="E32" s="17" t="s">
        <v>266</v>
      </c>
      <c r="F32" s="18">
        <v>220</v>
      </c>
      <c r="G32" s="7" t="str">
        <f>VLOOKUP(C32,将池品质对照!A:C,3,0)</f>
        <v>传说</v>
      </c>
    </row>
    <row r="33" spans="1:7" s="16" customFormat="1" ht="16.5">
      <c r="A33" s="7">
        <v>7822</v>
      </c>
      <c r="B33" s="16">
        <v>4010520</v>
      </c>
      <c r="C33" s="17" t="s">
        <v>52</v>
      </c>
      <c r="D33" s="17">
        <v>602</v>
      </c>
      <c r="E33" s="17" t="s">
        <v>266</v>
      </c>
      <c r="F33" s="18">
        <v>1130</v>
      </c>
      <c r="G33" s="7" t="str">
        <f>VLOOKUP(C33,将池品质对照!A:C,3,0)</f>
        <v>史诗</v>
      </c>
    </row>
    <row r="34" spans="1:7" s="16" customFormat="1" ht="16.5">
      <c r="A34" s="7">
        <v>7823</v>
      </c>
      <c r="B34" s="16">
        <v>409800</v>
      </c>
      <c r="C34" s="17" t="s">
        <v>57</v>
      </c>
      <c r="D34" s="17">
        <v>602</v>
      </c>
      <c r="E34" s="17" t="s">
        <v>266</v>
      </c>
      <c r="F34" s="18">
        <v>10950</v>
      </c>
      <c r="G34" s="7" t="str">
        <f>VLOOKUP(C34,将池品质对照!A:C,3,0)</f>
        <v>史诗</v>
      </c>
    </row>
    <row r="35" spans="1:7" s="16" customFormat="1" ht="16.5">
      <c r="A35" s="7">
        <v>7824</v>
      </c>
      <c r="B35" s="16">
        <v>405290</v>
      </c>
      <c r="C35" s="17" t="s">
        <v>62</v>
      </c>
      <c r="D35" s="17">
        <v>602</v>
      </c>
      <c r="E35" s="17" t="s">
        <v>266</v>
      </c>
      <c r="F35" s="18">
        <v>2470</v>
      </c>
      <c r="G35" s="7" t="str">
        <f>VLOOKUP(C35,将池品质对照!A:C,3,0)</f>
        <v>史诗</v>
      </c>
    </row>
    <row r="36" spans="1:7" s="16" customFormat="1" ht="16.5">
      <c r="A36" s="7">
        <v>7825</v>
      </c>
      <c r="B36" s="17">
        <v>405270</v>
      </c>
      <c r="C36" s="17" t="s">
        <v>67</v>
      </c>
      <c r="D36" s="17">
        <v>602</v>
      </c>
      <c r="E36" s="17" t="s">
        <v>266</v>
      </c>
      <c r="F36" s="18">
        <v>1230</v>
      </c>
      <c r="G36" s="7" t="str">
        <f>VLOOKUP(C36,将池品质对照!A:C,3,0)</f>
        <v>史诗</v>
      </c>
    </row>
    <row r="37" spans="1:7" s="16" customFormat="1" ht="16.5">
      <c r="A37" s="7">
        <v>7826</v>
      </c>
      <c r="B37" s="16">
        <v>4010600</v>
      </c>
      <c r="C37" s="17" t="s">
        <v>72</v>
      </c>
      <c r="D37" s="17">
        <v>602</v>
      </c>
      <c r="E37" s="17" t="s">
        <v>266</v>
      </c>
      <c r="F37" s="18">
        <v>3680</v>
      </c>
      <c r="G37" s="7" t="str">
        <f>VLOOKUP(C37,将池品质对照!A:C,3,0)</f>
        <v>史诗</v>
      </c>
    </row>
    <row r="38" spans="1:7" s="16" customFormat="1" ht="16.5">
      <c r="A38" s="7">
        <v>7827</v>
      </c>
      <c r="B38" s="16">
        <v>405450</v>
      </c>
      <c r="C38" s="17" t="s">
        <v>77</v>
      </c>
      <c r="D38" s="17">
        <v>602</v>
      </c>
      <c r="E38" s="17" t="s">
        <v>266</v>
      </c>
      <c r="F38" s="18">
        <v>120</v>
      </c>
      <c r="G38" s="7" t="str">
        <f>VLOOKUP(C38,将池品质对照!A:C,3,0)</f>
        <v>史诗</v>
      </c>
    </row>
    <row r="39" spans="1:7" s="16" customFormat="1" ht="16.5">
      <c r="A39" s="7">
        <v>7828</v>
      </c>
      <c r="B39" s="16">
        <v>405300</v>
      </c>
      <c r="C39" s="17" t="s">
        <v>82</v>
      </c>
      <c r="D39" s="17">
        <v>602</v>
      </c>
      <c r="E39" s="17" t="s">
        <v>266</v>
      </c>
      <c r="F39" s="18">
        <v>90</v>
      </c>
      <c r="G39" s="7" t="str">
        <f>VLOOKUP(C39,将池品质对照!A:C,3,0)</f>
        <v>传说</v>
      </c>
    </row>
    <row r="40" spans="1:7" s="16" customFormat="1" ht="16.5">
      <c r="A40" s="7">
        <v>7829</v>
      </c>
      <c r="B40" s="16">
        <v>4010500</v>
      </c>
      <c r="C40" s="17" t="s">
        <v>86</v>
      </c>
      <c r="D40" s="17">
        <v>602</v>
      </c>
      <c r="E40" s="17" t="s">
        <v>266</v>
      </c>
      <c r="F40" s="18">
        <v>120</v>
      </c>
      <c r="G40" s="7" t="str">
        <f>VLOOKUP(C40,将池品质对照!A:C,3,0)</f>
        <v>传说</v>
      </c>
    </row>
    <row r="41" spans="1:7" s="16" customFormat="1" ht="16.5">
      <c r="A41" s="7">
        <v>7830</v>
      </c>
      <c r="B41" s="19">
        <v>405560</v>
      </c>
      <c r="C41" s="19" t="s">
        <v>8</v>
      </c>
      <c r="D41" s="17">
        <v>602</v>
      </c>
      <c r="E41" s="19" t="s">
        <v>266</v>
      </c>
      <c r="F41" s="18">
        <v>70</v>
      </c>
      <c r="G41" s="7" t="str">
        <f>VLOOKUP(C41,将池品质对照!A:C,3,0)</f>
        <v>史诗</v>
      </c>
    </row>
    <row r="42" spans="1:7" s="16" customFormat="1" ht="16.5">
      <c r="A42" s="7">
        <v>7831</v>
      </c>
      <c r="B42" s="20">
        <v>405520</v>
      </c>
      <c r="C42" s="20" t="s">
        <v>276</v>
      </c>
      <c r="D42" s="17">
        <v>602</v>
      </c>
      <c r="E42" s="17" t="s">
        <v>266</v>
      </c>
      <c r="F42" s="18">
        <v>1650</v>
      </c>
      <c r="G42" s="7" t="e">
        <f>VLOOKUP(C42,将池品质对照!A:C,3,0)</f>
        <v>#N/A</v>
      </c>
    </row>
    <row r="43" spans="1:7" s="16" customFormat="1" ht="16.5">
      <c r="A43" s="7">
        <v>7832</v>
      </c>
      <c r="B43" s="20">
        <v>4010060</v>
      </c>
      <c r="C43" s="20" t="s">
        <v>277</v>
      </c>
      <c r="D43" s="17">
        <v>602</v>
      </c>
      <c r="E43" s="17" t="s">
        <v>266</v>
      </c>
      <c r="F43" s="18">
        <v>260</v>
      </c>
      <c r="G43" s="7" t="e">
        <f>VLOOKUP(C43,将池品质对照!A:C,3,0)</f>
        <v>#N/A</v>
      </c>
    </row>
    <row r="44" spans="1:7" s="16" customFormat="1" ht="16.5">
      <c r="A44" s="7">
        <v>7833</v>
      </c>
      <c r="B44" s="20">
        <v>405380</v>
      </c>
      <c r="C44" s="20" t="s">
        <v>278</v>
      </c>
      <c r="D44" s="17">
        <v>602</v>
      </c>
      <c r="E44" s="17" t="s">
        <v>266</v>
      </c>
      <c r="F44" s="18">
        <v>140</v>
      </c>
      <c r="G44" s="7" t="e">
        <f>VLOOKUP(C44,将池品质对照!A:C,3,0)</f>
        <v>#N/A</v>
      </c>
    </row>
    <row r="45" spans="1:7" s="16" customFormat="1" ht="16.5">
      <c r="A45" s="7">
        <v>7834</v>
      </c>
      <c r="B45" s="20">
        <v>405400</v>
      </c>
      <c r="C45" s="20" t="s">
        <v>279</v>
      </c>
      <c r="D45" s="17">
        <v>602</v>
      </c>
      <c r="E45" s="17" t="s">
        <v>266</v>
      </c>
      <c r="F45" s="18">
        <v>200</v>
      </c>
      <c r="G45" s="7" t="e">
        <f>VLOOKUP(C45,将池品质对照!A:C,3,0)</f>
        <v>#N/A</v>
      </c>
    </row>
    <row r="46" spans="1:7" s="16" customFormat="1" ht="16.5">
      <c r="A46" s="7">
        <v>7835</v>
      </c>
      <c r="B46" s="20">
        <v>405410</v>
      </c>
      <c r="C46" s="20" t="s">
        <v>280</v>
      </c>
      <c r="D46" s="17">
        <v>602</v>
      </c>
      <c r="E46" s="17" t="s">
        <v>266</v>
      </c>
      <c r="F46" s="18">
        <v>460</v>
      </c>
      <c r="G46" s="7" t="e">
        <f>VLOOKUP(C46,将池品质对照!A:C,3,0)</f>
        <v>#N/A</v>
      </c>
    </row>
    <row r="47" spans="1:7" s="16" customFormat="1" ht="16.5">
      <c r="A47" s="7">
        <v>7836</v>
      </c>
      <c r="B47" s="20">
        <v>4019510</v>
      </c>
      <c r="C47" s="20" t="s">
        <v>281</v>
      </c>
      <c r="D47" s="17">
        <v>602</v>
      </c>
      <c r="E47" s="17" t="s">
        <v>266</v>
      </c>
      <c r="F47" s="18">
        <v>90</v>
      </c>
      <c r="G47" s="7" t="e">
        <f>VLOOKUP(C47,将池品质对照!A:C,3,0)</f>
        <v>#N/A</v>
      </c>
    </row>
    <row r="48" spans="1:7" s="16" customFormat="1" ht="16.5">
      <c r="A48" s="7">
        <v>7837</v>
      </c>
      <c r="B48" s="20">
        <v>4010730</v>
      </c>
      <c r="C48" s="20" t="s">
        <v>282</v>
      </c>
      <c r="D48" s="17">
        <v>602</v>
      </c>
      <c r="E48" s="17" t="s">
        <v>266</v>
      </c>
      <c r="F48" s="18">
        <v>110</v>
      </c>
      <c r="G48" s="7" t="e">
        <f>VLOOKUP(C48,将池品质对照!A:C,3,0)</f>
        <v>#N/A</v>
      </c>
    </row>
    <row r="49" spans="1:7" s="16" customFormat="1" ht="16.5">
      <c r="A49" s="7">
        <v>7838</v>
      </c>
      <c r="B49" s="20">
        <v>4011000</v>
      </c>
      <c r="C49" s="20" t="s">
        <v>283</v>
      </c>
      <c r="D49" s="17">
        <v>602</v>
      </c>
      <c r="E49" s="17" t="s">
        <v>266</v>
      </c>
      <c r="F49" s="18">
        <v>70</v>
      </c>
      <c r="G49" s="7" t="e">
        <f>VLOOKUP(C49,将池品质对照!A:C,3,0)</f>
        <v>#N/A</v>
      </c>
    </row>
    <row r="50" spans="1:7" s="16" customFormat="1" ht="16.5">
      <c r="A50" s="7">
        <v>7839</v>
      </c>
      <c r="B50" s="20">
        <v>4010180</v>
      </c>
      <c r="C50" s="20" t="s">
        <v>284</v>
      </c>
      <c r="D50" s="17">
        <v>602</v>
      </c>
      <c r="E50" s="17" t="s">
        <v>266</v>
      </c>
      <c r="F50" s="18">
        <v>5510</v>
      </c>
      <c r="G50" s="7" t="e">
        <f>VLOOKUP(C50,将池品质对照!A:C,3,0)</f>
        <v>#N/A</v>
      </c>
    </row>
    <row r="51" spans="1:7" s="16" customFormat="1" ht="16.5">
      <c r="A51" s="7">
        <v>7840</v>
      </c>
      <c r="B51" s="20">
        <v>4011400</v>
      </c>
      <c r="C51" s="20" t="s">
        <v>32</v>
      </c>
      <c r="D51" s="17">
        <v>602</v>
      </c>
      <c r="E51" s="17" t="s">
        <v>266</v>
      </c>
      <c r="F51" s="18">
        <v>50</v>
      </c>
      <c r="G51" s="7" t="str">
        <f>VLOOKUP(C51,将池品质对照!A:C,3,0)</f>
        <v>史诗</v>
      </c>
    </row>
    <row r="52" spans="1:7" s="16" customFormat="1" ht="16.5">
      <c r="A52" s="7">
        <v>7841</v>
      </c>
      <c r="B52" s="20">
        <v>4010910</v>
      </c>
      <c r="C52" s="20" t="s">
        <v>37</v>
      </c>
      <c r="D52" s="17">
        <v>602</v>
      </c>
      <c r="E52" s="17" t="s">
        <v>266</v>
      </c>
      <c r="F52" s="18">
        <v>190</v>
      </c>
      <c r="G52" s="7" t="str">
        <f>VLOOKUP(C52,将池品质对照!A:C,3,0)</f>
        <v>史诗</v>
      </c>
    </row>
    <row r="53" spans="1:7" s="16" customFormat="1" ht="16.5">
      <c r="A53" s="7">
        <v>7842</v>
      </c>
      <c r="B53" s="20">
        <v>4011300</v>
      </c>
      <c r="C53" s="20" t="s">
        <v>43</v>
      </c>
      <c r="D53" s="17">
        <v>602</v>
      </c>
      <c r="E53" s="17" t="s">
        <v>266</v>
      </c>
      <c r="F53" s="18">
        <v>1080</v>
      </c>
      <c r="G53" s="7" t="str">
        <f>VLOOKUP(C53,将池品质对照!A:C,3,0)</f>
        <v>史诗</v>
      </c>
    </row>
    <row r="54" spans="1:7" s="16" customFormat="1" ht="16.5">
      <c r="A54" s="7">
        <v>7843</v>
      </c>
      <c r="B54" s="20">
        <v>4011110</v>
      </c>
      <c r="C54" s="20" t="s">
        <v>48</v>
      </c>
      <c r="D54" s="17">
        <v>602</v>
      </c>
      <c r="E54" s="17" t="s">
        <v>266</v>
      </c>
      <c r="F54" s="18">
        <v>510</v>
      </c>
      <c r="G54" s="7" t="str">
        <f>VLOOKUP(C54,将池品质对照!A:C,3,0)</f>
        <v>史诗</v>
      </c>
    </row>
    <row r="55" spans="1:7" s="16" customFormat="1" ht="16.5">
      <c r="A55" s="7">
        <v>7844</v>
      </c>
      <c r="B55" s="20">
        <v>405510</v>
      </c>
      <c r="C55" s="20" t="s">
        <v>53</v>
      </c>
      <c r="D55" s="17">
        <v>602</v>
      </c>
      <c r="E55" s="17" t="s">
        <v>266</v>
      </c>
      <c r="F55" s="18">
        <v>270</v>
      </c>
      <c r="G55" s="7" t="str">
        <f>VLOOKUP(C55,将池品质对照!A:C,3,0)</f>
        <v>传说</v>
      </c>
    </row>
    <row r="56" spans="1:7" s="16" customFormat="1" ht="16.5">
      <c r="A56" s="7">
        <v>7845</v>
      </c>
      <c r="B56" s="20">
        <v>405490</v>
      </c>
      <c r="C56" s="20" t="s">
        <v>58</v>
      </c>
      <c r="D56" s="17">
        <v>602</v>
      </c>
      <c r="E56" s="17" t="s">
        <v>266</v>
      </c>
      <c r="F56" s="18">
        <v>50</v>
      </c>
      <c r="G56" s="7" t="str">
        <f>VLOOKUP(C56,将池品质对照!A:C,3,0)</f>
        <v>传说</v>
      </c>
    </row>
    <row r="57" spans="1:7" s="16" customFormat="1" ht="16.5">
      <c r="A57" s="7">
        <v>7846</v>
      </c>
      <c r="B57" s="20">
        <v>4010170</v>
      </c>
      <c r="C57" s="20" t="s">
        <v>63</v>
      </c>
      <c r="D57" s="17">
        <v>602</v>
      </c>
      <c r="E57" s="17" t="s">
        <v>266</v>
      </c>
      <c r="F57" s="18">
        <v>10</v>
      </c>
      <c r="G57" s="7" t="str">
        <f>VLOOKUP(C57,将池品质对照!A:C,3,0)</f>
        <v>史诗</v>
      </c>
    </row>
    <row r="58" spans="1:7" s="16" customFormat="1" ht="16.5">
      <c r="A58" s="7">
        <v>7847</v>
      </c>
      <c r="B58" s="20">
        <v>405460</v>
      </c>
      <c r="C58" s="20" t="s">
        <v>68</v>
      </c>
      <c r="D58" s="17">
        <v>602</v>
      </c>
      <c r="E58" s="17" t="s">
        <v>266</v>
      </c>
      <c r="F58" s="18">
        <v>970</v>
      </c>
      <c r="G58" s="7" t="str">
        <f>VLOOKUP(C58,将池品质对照!A:C,3,0)</f>
        <v>传说</v>
      </c>
    </row>
    <row r="59" spans="1:7" s="16" customFormat="1" ht="16.5">
      <c r="A59" s="7">
        <v>7848</v>
      </c>
      <c r="B59" s="20">
        <v>4010070</v>
      </c>
      <c r="C59" s="20" t="s">
        <v>73</v>
      </c>
      <c r="D59" s="17">
        <v>602</v>
      </c>
      <c r="E59" s="17" t="s">
        <v>266</v>
      </c>
      <c r="F59" s="18">
        <v>40</v>
      </c>
      <c r="G59" s="7" t="str">
        <f>VLOOKUP(C59,将池品质对照!A:C,3,0)</f>
        <v>史诗</v>
      </c>
    </row>
    <row r="60" spans="1:7" s="16" customFormat="1" ht="16.5">
      <c r="A60" s="7">
        <v>7849</v>
      </c>
      <c r="B60" s="20">
        <v>4011800</v>
      </c>
      <c r="C60" s="20" t="s">
        <v>78</v>
      </c>
      <c r="D60" s="17">
        <v>602</v>
      </c>
      <c r="E60" s="17" t="s">
        <v>266</v>
      </c>
      <c r="F60" s="18">
        <v>1250</v>
      </c>
      <c r="G60" s="7" t="str">
        <f>VLOOKUP(C60,将池品质对照!A:C,3,0)</f>
        <v>传说</v>
      </c>
    </row>
    <row r="61" spans="1:7" s="16" customFormat="1" ht="16.5">
      <c r="A61" s="7">
        <v>7850</v>
      </c>
      <c r="B61" s="20">
        <v>4011530</v>
      </c>
      <c r="C61" s="20" t="s">
        <v>83</v>
      </c>
      <c r="D61" s="17">
        <v>602</v>
      </c>
      <c r="E61" s="17" t="s">
        <v>266</v>
      </c>
      <c r="F61" s="18">
        <v>650</v>
      </c>
      <c r="G61" s="7" t="str">
        <f>VLOOKUP(C61,将池品质对照!A:C,3,0)</f>
        <v>史诗</v>
      </c>
    </row>
    <row r="62" spans="1:7" s="16" customFormat="1" ht="16.5">
      <c r="A62" s="7">
        <v>7851</v>
      </c>
      <c r="B62" s="20">
        <v>405430</v>
      </c>
      <c r="C62" s="20" t="s">
        <v>87</v>
      </c>
      <c r="D62" s="17">
        <v>602</v>
      </c>
      <c r="E62" s="17" t="s">
        <v>266</v>
      </c>
      <c r="F62" s="18">
        <v>1610</v>
      </c>
      <c r="G62" s="7" t="str">
        <f>VLOOKUP(C62,将池品质对照!A:C,3,0)</f>
        <v>传说</v>
      </c>
    </row>
    <row r="63" spans="1:7" s="16" customFormat="1" ht="16.5">
      <c r="A63" s="7">
        <v>7852</v>
      </c>
      <c r="B63" s="20">
        <v>4019530</v>
      </c>
      <c r="C63" s="20" t="s">
        <v>9</v>
      </c>
      <c r="D63" s="17">
        <v>602</v>
      </c>
      <c r="E63" s="17" t="s">
        <v>266</v>
      </c>
      <c r="F63" s="18">
        <v>280</v>
      </c>
      <c r="G63" s="7" t="str">
        <f>VLOOKUP(C63,将池品质对照!A:C,3,0)</f>
        <v>史诗</v>
      </c>
    </row>
    <row r="64" spans="1:7" s="16" customFormat="1" ht="16.5">
      <c r="A64" s="7">
        <v>7853</v>
      </c>
      <c r="B64" s="20">
        <v>408050</v>
      </c>
      <c r="C64" s="20" t="s">
        <v>285</v>
      </c>
      <c r="D64" s="17">
        <v>602</v>
      </c>
      <c r="E64" s="17" t="s">
        <v>266</v>
      </c>
      <c r="F64" s="18">
        <v>250</v>
      </c>
      <c r="G64" s="7" t="e">
        <f>VLOOKUP(C64,将池品质对照!A:C,3,0)</f>
        <v>#N/A</v>
      </c>
    </row>
    <row r="65" spans="1:7" s="16" customFormat="1" ht="16.5">
      <c r="A65" s="7">
        <v>7854</v>
      </c>
      <c r="B65" s="20">
        <v>4010190</v>
      </c>
      <c r="C65" s="20" t="s">
        <v>286</v>
      </c>
      <c r="D65" s="17">
        <v>602</v>
      </c>
      <c r="E65" s="17" t="s">
        <v>266</v>
      </c>
      <c r="F65" s="18">
        <v>30</v>
      </c>
      <c r="G65" s="7" t="e">
        <f>VLOOKUP(C65,将池品质对照!A:C,3,0)</f>
        <v>#N/A</v>
      </c>
    </row>
    <row r="66" spans="1:7" s="16" customFormat="1" ht="16.5">
      <c r="A66" s="7">
        <v>7855</v>
      </c>
      <c r="B66" s="20">
        <v>4019520</v>
      </c>
      <c r="C66" s="20" t="s">
        <v>287</v>
      </c>
      <c r="D66" s="17">
        <v>602</v>
      </c>
      <c r="E66" s="17" t="s">
        <v>266</v>
      </c>
      <c r="F66" s="18">
        <v>4390</v>
      </c>
      <c r="G66" s="7" t="e">
        <f>VLOOKUP(C66,将池品质对照!A:C,3,0)</f>
        <v>#N/A</v>
      </c>
    </row>
    <row r="67" spans="1:7" s="16" customFormat="1" ht="16.5">
      <c r="A67" s="7">
        <v>7856</v>
      </c>
      <c r="B67" s="20">
        <v>4011900</v>
      </c>
      <c r="C67" s="20" t="s">
        <v>288</v>
      </c>
      <c r="D67" s="17">
        <v>602</v>
      </c>
      <c r="E67" s="17" t="s">
        <v>266</v>
      </c>
      <c r="F67" s="18">
        <v>10000</v>
      </c>
      <c r="G67" s="7" t="e">
        <f>VLOOKUP(C67,将池品质对照!A:C,3,0)</f>
        <v>#N/A</v>
      </c>
    </row>
    <row r="68" spans="1:7" s="16" customFormat="1" ht="16.5">
      <c r="A68" s="7">
        <v>7857</v>
      </c>
      <c r="B68" s="20">
        <v>406100</v>
      </c>
      <c r="C68" s="20" t="s">
        <v>289</v>
      </c>
      <c r="D68" s="17">
        <v>602</v>
      </c>
      <c r="E68" s="17" t="s">
        <v>266</v>
      </c>
      <c r="F68" s="18">
        <v>1940</v>
      </c>
      <c r="G68" s="7" t="e">
        <f>VLOOKUP(C68,将池品质对照!A:C,3,0)</f>
        <v>#N/A</v>
      </c>
    </row>
    <row r="69" spans="1:7" s="16" customFormat="1" ht="16.5">
      <c r="A69" s="7">
        <v>7858</v>
      </c>
      <c r="B69" s="20">
        <v>4011120</v>
      </c>
      <c r="C69" s="20" t="s">
        <v>290</v>
      </c>
      <c r="D69" s="17">
        <v>602</v>
      </c>
      <c r="E69" s="17" t="s">
        <v>266</v>
      </c>
      <c r="F69" s="18">
        <v>1980</v>
      </c>
      <c r="G69" s="7" t="e">
        <f>VLOOKUP(C69,将池品质对照!A:C,3,0)</f>
        <v>#N/A</v>
      </c>
    </row>
    <row r="70" spans="1:7" s="16" customFormat="1" ht="16.5">
      <c r="A70" s="7">
        <v>7859</v>
      </c>
      <c r="B70" s="20">
        <v>405570</v>
      </c>
      <c r="C70" s="20" t="s">
        <v>291</v>
      </c>
      <c r="D70" s="17">
        <v>602</v>
      </c>
      <c r="E70" s="17" t="s">
        <v>266</v>
      </c>
      <c r="F70" s="18">
        <v>620</v>
      </c>
      <c r="G70" s="7" t="e">
        <f>VLOOKUP(C70,将池品质对照!A:C,3,0)</f>
        <v>#N/A</v>
      </c>
    </row>
    <row r="71" spans="1:7" s="24" customFormat="1" ht="16.5">
      <c r="A71" s="7">
        <v>7860</v>
      </c>
      <c r="B71" s="21">
        <v>4016820</v>
      </c>
      <c r="C71" s="21" t="s">
        <v>292</v>
      </c>
      <c r="D71" s="22">
        <v>602</v>
      </c>
      <c r="E71" s="22" t="s">
        <v>266</v>
      </c>
      <c r="F71" s="23">
        <v>850</v>
      </c>
      <c r="G71" s="7" t="e">
        <f>VLOOKUP(C71,将池品质对照!A:C,3,0)</f>
        <v>#N/A</v>
      </c>
    </row>
    <row r="72" spans="1:7" s="27" customFormat="1" ht="16.5">
      <c r="A72" s="7">
        <v>7861</v>
      </c>
      <c r="B72" s="25">
        <v>406500</v>
      </c>
      <c r="C72" s="25" t="s">
        <v>10</v>
      </c>
      <c r="D72" s="25">
        <v>603</v>
      </c>
      <c r="E72" s="25" t="s">
        <v>266</v>
      </c>
      <c r="F72" s="26">
        <v>470</v>
      </c>
      <c r="G72" s="7" t="str">
        <f>VLOOKUP(C72,将池品质对照!A:C,3,0)</f>
        <v>稀有</v>
      </c>
    </row>
    <row r="73" spans="1:7" s="27" customFormat="1" ht="16.5">
      <c r="A73" s="7">
        <v>7862</v>
      </c>
      <c r="B73" s="25">
        <v>406510</v>
      </c>
      <c r="C73" s="25" t="s">
        <v>293</v>
      </c>
      <c r="D73" s="25">
        <v>603</v>
      </c>
      <c r="E73" s="25" t="s">
        <v>266</v>
      </c>
      <c r="F73" s="26">
        <v>8220</v>
      </c>
      <c r="G73" s="7" t="e">
        <f>VLOOKUP(C73,将池品质对照!A:C,3,0)</f>
        <v>#N/A</v>
      </c>
    </row>
    <row r="74" spans="1:7" s="27" customFormat="1" ht="16.5">
      <c r="A74" s="7">
        <v>7863</v>
      </c>
      <c r="B74" s="25">
        <v>406520</v>
      </c>
      <c r="C74" s="25" t="s">
        <v>294</v>
      </c>
      <c r="D74" s="25">
        <v>603</v>
      </c>
      <c r="E74" s="25" t="s">
        <v>266</v>
      </c>
      <c r="F74" s="26">
        <v>8510</v>
      </c>
      <c r="G74" s="7" t="e">
        <f>VLOOKUP(C74,将池品质对照!A:C,3,0)</f>
        <v>#N/A</v>
      </c>
    </row>
    <row r="75" spans="1:7" s="27" customFormat="1" ht="16.5">
      <c r="A75" s="7">
        <v>7864</v>
      </c>
      <c r="B75" s="25">
        <v>406000</v>
      </c>
      <c r="C75" s="25" t="s">
        <v>295</v>
      </c>
      <c r="D75" s="25">
        <v>603</v>
      </c>
      <c r="E75" s="25" t="s">
        <v>266</v>
      </c>
      <c r="F75" s="26">
        <v>440</v>
      </c>
      <c r="G75" s="7" t="e">
        <f>VLOOKUP(C75,将池品质对照!A:C,3,0)</f>
        <v>#N/A</v>
      </c>
    </row>
    <row r="76" spans="1:7" s="27" customFormat="1" ht="16.5">
      <c r="A76" s="7">
        <v>7865</v>
      </c>
      <c r="B76" s="25">
        <v>406010</v>
      </c>
      <c r="C76" s="25" t="s">
        <v>296</v>
      </c>
      <c r="D76" s="25">
        <v>603</v>
      </c>
      <c r="E76" s="25" t="s">
        <v>266</v>
      </c>
      <c r="F76" s="26">
        <v>6960</v>
      </c>
      <c r="G76" s="7" t="e">
        <f>VLOOKUP(C76,将池品质对照!A:C,3,0)</f>
        <v>#N/A</v>
      </c>
    </row>
    <row r="77" spans="1:7" s="27" customFormat="1" ht="16.5">
      <c r="A77" s="7">
        <v>7866</v>
      </c>
      <c r="B77" s="25">
        <v>406020</v>
      </c>
      <c r="C77" s="25" t="s">
        <v>297</v>
      </c>
      <c r="D77" s="25">
        <v>603</v>
      </c>
      <c r="E77" s="25" t="s">
        <v>266</v>
      </c>
      <c r="F77" s="26">
        <v>5230</v>
      </c>
      <c r="G77" s="7" t="e">
        <f>VLOOKUP(C77,将池品质对照!A:C,3,0)</f>
        <v>#N/A</v>
      </c>
    </row>
    <row r="78" spans="1:7" s="27" customFormat="1" ht="16.5">
      <c r="A78" s="7">
        <v>7867</v>
      </c>
      <c r="B78" s="25">
        <v>406030</v>
      </c>
      <c r="C78" s="25" t="s">
        <v>298</v>
      </c>
      <c r="D78" s="25">
        <v>603</v>
      </c>
      <c r="E78" s="25" t="s">
        <v>266</v>
      </c>
      <c r="F78" s="26">
        <v>4880</v>
      </c>
      <c r="G78" s="7" t="e">
        <f>VLOOKUP(C78,将池品质对照!A:C,3,0)</f>
        <v>#N/A</v>
      </c>
    </row>
    <row r="79" spans="1:7" s="27" customFormat="1" ht="16.5">
      <c r="A79" s="7">
        <v>7868</v>
      </c>
      <c r="B79" s="25">
        <v>420840</v>
      </c>
      <c r="C79" s="25" t="s">
        <v>299</v>
      </c>
      <c r="D79" s="25">
        <v>603</v>
      </c>
      <c r="E79" s="25" t="s">
        <v>266</v>
      </c>
      <c r="F79" s="26">
        <v>2950</v>
      </c>
      <c r="G79" s="7" t="e">
        <f>VLOOKUP(C79,将池品质对照!A:C,3,0)</f>
        <v>#N/A</v>
      </c>
    </row>
    <row r="80" spans="1:7" s="27" customFormat="1" ht="16.5">
      <c r="A80" s="7">
        <v>7869</v>
      </c>
      <c r="B80" s="25">
        <v>405360</v>
      </c>
      <c r="C80" s="25" t="s">
        <v>23</v>
      </c>
      <c r="D80" s="25">
        <v>603</v>
      </c>
      <c r="E80" s="25" t="s">
        <v>266</v>
      </c>
      <c r="F80" s="26">
        <v>840</v>
      </c>
      <c r="G80" s="7" t="str">
        <f>VLOOKUP(C80,将池品质对照!A:C,3,0)</f>
        <v>稀有</v>
      </c>
    </row>
    <row r="81" spans="1:7" s="27" customFormat="1" ht="16.5">
      <c r="A81" s="7">
        <v>7870</v>
      </c>
      <c r="B81" s="25">
        <v>4010530</v>
      </c>
      <c r="C81" s="25" t="s">
        <v>27</v>
      </c>
      <c r="D81" s="25">
        <v>603</v>
      </c>
      <c r="E81" s="25" t="s">
        <v>266</v>
      </c>
      <c r="F81" s="26">
        <v>660</v>
      </c>
      <c r="G81" s="7" t="str">
        <f>VLOOKUP(C81,将池品质对照!A:C,3,0)</f>
        <v>稀有</v>
      </c>
    </row>
    <row r="82" spans="1:7" s="27" customFormat="1" ht="16.5">
      <c r="A82" s="7">
        <v>7871</v>
      </c>
      <c r="B82" s="25">
        <v>405350</v>
      </c>
      <c r="C82" s="25" t="s">
        <v>33</v>
      </c>
      <c r="D82" s="25">
        <v>603</v>
      </c>
      <c r="E82" s="25" t="s">
        <v>266</v>
      </c>
      <c r="F82" s="26">
        <v>10930</v>
      </c>
      <c r="G82" s="7" t="str">
        <f>VLOOKUP(C82,将池品质对照!A:C,3,0)</f>
        <v>稀有</v>
      </c>
    </row>
    <row r="83" spans="1:7" s="27" customFormat="1" ht="16.5">
      <c r="A83" s="7">
        <v>7872</v>
      </c>
      <c r="B83" s="28">
        <v>405330</v>
      </c>
      <c r="C83" s="28" t="s">
        <v>38</v>
      </c>
      <c r="D83" s="28">
        <v>603</v>
      </c>
      <c r="E83" s="28" t="s">
        <v>266</v>
      </c>
      <c r="F83" s="26">
        <v>890</v>
      </c>
      <c r="G83" s="7" t="str">
        <f>VLOOKUP(C83,将池品质对照!A:C,3,0)</f>
        <v>史诗</v>
      </c>
    </row>
    <row r="84" spans="1:7" s="27" customFormat="1" ht="16.5">
      <c r="A84" s="7">
        <v>7873</v>
      </c>
      <c r="B84" s="28">
        <v>4010540</v>
      </c>
      <c r="C84" s="28" t="s">
        <v>44</v>
      </c>
      <c r="D84" s="28">
        <v>603</v>
      </c>
      <c r="E84" s="28" t="s">
        <v>266</v>
      </c>
      <c r="F84" s="26">
        <v>1020</v>
      </c>
      <c r="G84" s="7" t="str">
        <f>VLOOKUP(C84,将池品质对照!A:C,3,0)</f>
        <v>稀有</v>
      </c>
    </row>
    <row r="85" spans="1:7" s="27" customFormat="1" ht="16.5">
      <c r="A85" s="7">
        <v>7874</v>
      </c>
      <c r="B85" s="28">
        <v>4010000</v>
      </c>
      <c r="C85" s="28" t="s">
        <v>49</v>
      </c>
      <c r="D85" s="28">
        <v>603</v>
      </c>
      <c r="E85" s="28" t="s">
        <v>266</v>
      </c>
      <c r="F85" s="26">
        <v>900</v>
      </c>
      <c r="G85" s="7" t="str">
        <f>VLOOKUP(C85,将池品质对照!A:C,3,0)</f>
        <v>稀有</v>
      </c>
    </row>
    <row r="86" spans="1:7" s="27" customFormat="1" ht="16.5">
      <c r="A86" s="7">
        <v>7875</v>
      </c>
      <c r="B86" s="28">
        <v>420860</v>
      </c>
      <c r="C86" s="28" t="s">
        <v>54</v>
      </c>
      <c r="D86" s="28">
        <v>603</v>
      </c>
      <c r="E86" s="28" t="s">
        <v>266</v>
      </c>
      <c r="F86" s="26">
        <v>850</v>
      </c>
      <c r="G86" s="7" t="str">
        <f>VLOOKUP(C86,将池品质对照!A:C,3,0)</f>
        <v>史诗</v>
      </c>
    </row>
    <row r="87" spans="1:7" s="27" customFormat="1" ht="16.5">
      <c r="A87" s="7">
        <v>7876</v>
      </c>
      <c r="B87" s="28">
        <v>4010550</v>
      </c>
      <c r="C87" s="28" t="s">
        <v>59</v>
      </c>
      <c r="D87" s="28">
        <v>603</v>
      </c>
      <c r="E87" s="28" t="s">
        <v>266</v>
      </c>
      <c r="F87" s="26">
        <v>2750</v>
      </c>
      <c r="G87" s="7" t="str">
        <f>VLOOKUP(C87,将池品质对照!A:C,3,0)</f>
        <v>稀有</v>
      </c>
    </row>
    <row r="88" spans="1:7" s="27" customFormat="1" ht="16.5">
      <c r="A88" s="7">
        <v>7877</v>
      </c>
      <c r="B88" s="28">
        <v>4010580</v>
      </c>
      <c r="C88" s="28" t="s">
        <v>64</v>
      </c>
      <c r="D88" s="28">
        <v>603</v>
      </c>
      <c r="E88" s="28" t="s">
        <v>266</v>
      </c>
      <c r="F88" s="26">
        <v>3510</v>
      </c>
      <c r="G88" s="7" t="str">
        <f>VLOOKUP(C88,将池品质对照!A:C,3,0)</f>
        <v>稀有</v>
      </c>
    </row>
    <row r="89" spans="1:7" s="27" customFormat="1" ht="16.5">
      <c r="A89" s="7">
        <v>7878</v>
      </c>
      <c r="B89" s="29">
        <v>4010710</v>
      </c>
      <c r="C89" s="29" t="s">
        <v>69</v>
      </c>
      <c r="D89" s="28">
        <v>603</v>
      </c>
      <c r="E89" s="28" t="s">
        <v>266</v>
      </c>
      <c r="F89" s="26">
        <v>60</v>
      </c>
      <c r="G89" s="7" t="str">
        <f>VLOOKUP(C89,将池品质对照!A:C,3,0)</f>
        <v>史诗</v>
      </c>
    </row>
    <row r="90" spans="1:7" s="27" customFormat="1" ht="16.5">
      <c r="A90" s="7">
        <v>7879</v>
      </c>
      <c r="B90" s="29">
        <v>405440</v>
      </c>
      <c r="C90" s="29" t="s">
        <v>74</v>
      </c>
      <c r="D90" s="28">
        <v>603</v>
      </c>
      <c r="E90" s="28" t="s">
        <v>266</v>
      </c>
      <c r="F90" s="26">
        <v>310</v>
      </c>
      <c r="G90" s="7" t="str">
        <f>VLOOKUP(C90,将池品质对照!A:C,3,0)</f>
        <v>史诗</v>
      </c>
    </row>
    <row r="91" spans="1:7" s="27" customFormat="1" ht="16.5">
      <c r="A91" s="7">
        <v>7880</v>
      </c>
      <c r="B91" s="29">
        <v>406050</v>
      </c>
      <c r="C91" s="29" t="s">
        <v>79</v>
      </c>
      <c r="D91" s="28">
        <v>603</v>
      </c>
      <c r="E91" s="28" t="s">
        <v>266</v>
      </c>
      <c r="F91" s="26">
        <v>300</v>
      </c>
      <c r="G91" s="7" t="str">
        <f>VLOOKUP(C91,将池品质对照!A:C,3,0)</f>
        <v>史诗</v>
      </c>
    </row>
    <row r="92" spans="1:7" s="27" customFormat="1" ht="16.5">
      <c r="A92" s="7">
        <v>7881</v>
      </c>
      <c r="B92" s="29">
        <v>405470</v>
      </c>
      <c r="C92" s="29" t="s">
        <v>84</v>
      </c>
      <c r="D92" s="28">
        <v>603</v>
      </c>
      <c r="E92" s="28" t="s">
        <v>266</v>
      </c>
      <c r="F92" s="26">
        <v>260</v>
      </c>
      <c r="G92" s="7" t="str">
        <f>VLOOKUP(C92,将池品质对照!A:C,3,0)</f>
        <v>史诗</v>
      </c>
    </row>
    <row r="93" spans="1:7" s="27" customFormat="1" ht="16.5">
      <c r="A93" s="7">
        <v>7882</v>
      </c>
      <c r="B93" s="29">
        <v>4010050</v>
      </c>
      <c r="C93" s="29" t="s">
        <v>88</v>
      </c>
      <c r="D93" s="28">
        <v>603</v>
      </c>
      <c r="E93" s="28" t="s">
        <v>266</v>
      </c>
      <c r="F93" s="26">
        <v>40</v>
      </c>
      <c r="G93" s="7" t="str">
        <f>VLOOKUP(C93,将池品质对照!A:C,3,0)</f>
        <v>史诗</v>
      </c>
    </row>
    <row r="94" spans="1:7" s="27" customFormat="1" ht="16.5">
      <c r="A94" s="7">
        <v>7883</v>
      </c>
      <c r="B94" s="29">
        <v>405420</v>
      </c>
      <c r="C94" s="29" t="s">
        <v>12</v>
      </c>
      <c r="D94" s="28">
        <v>603</v>
      </c>
      <c r="E94" s="28" t="s">
        <v>266</v>
      </c>
      <c r="F94" s="26">
        <v>360</v>
      </c>
      <c r="G94" s="7" t="str">
        <f>VLOOKUP(C94,将池品质对照!A:C,3,0)</f>
        <v>稀有</v>
      </c>
    </row>
    <row r="95" spans="1:7" s="27" customFormat="1" ht="16.5">
      <c r="A95" s="7">
        <v>7884</v>
      </c>
      <c r="B95" s="29">
        <v>406040</v>
      </c>
      <c r="C95" s="29" t="s">
        <v>300</v>
      </c>
      <c r="D95" s="28">
        <v>603</v>
      </c>
      <c r="E95" s="28" t="s">
        <v>266</v>
      </c>
      <c r="F95" s="26">
        <v>40</v>
      </c>
      <c r="G95" s="7" t="e">
        <f>VLOOKUP(C95,将池品质对照!A:C,3,0)</f>
        <v>#N/A</v>
      </c>
    </row>
    <row r="96" spans="1:7" s="27" customFormat="1" ht="16.5">
      <c r="A96" s="7">
        <v>7885</v>
      </c>
      <c r="B96" s="29">
        <v>406070</v>
      </c>
      <c r="C96" s="29" t="s">
        <v>301</v>
      </c>
      <c r="D96" s="28">
        <v>603</v>
      </c>
      <c r="E96" s="28" t="s">
        <v>266</v>
      </c>
      <c r="F96" s="26">
        <v>590</v>
      </c>
      <c r="G96" s="7" t="e">
        <f>VLOOKUP(C96,将池品质对照!A:C,3,0)</f>
        <v>#N/A</v>
      </c>
    </row>
    <row r="97" spans="1:7" s="27" customFormat="1" ht="16.5">
      <c r="A97" s="7">
        <v>7886</v>
      </c>
      <c r="B97" s="29">
        <v>420890</v>
      </c>
      <c r="C97" s="29" t="s">
        <v>302</v>
      </c>
      <c r="D97" s="28">
        <v>603</v>
      </c>
      <c r="E97" s="28" t="s">
        <v>266</v>
      </c>
      <c r="F97" s="26">
        <v>740</v>
      </c>
      <c r="G97" s="7" t="e">
        <f>VLOOKUP(C97,将池品质对照!A:C,3,0)</f>
        <v>#N/A</v>
      </c>
    </row>
    <row r="98" spans="1:7" s="27" customFormat="1" ht="16.5">
      <c r="A98" s="7">
        <v>7887</v>
      </c>
      <c r="B98" s="29">
        <v>4010650</v>
      </c>
      <c r="C98" s="29" t="s">
        <v>303</v>
      </c>
      <c r="D98" s="28">
        <v>603</v>
      </c>
      <c r="E98" s="28" t="s">
        <v>266</v>
      </c>
      <c r="F98" s="26">
        <v>1000</v>
      </c>
      <c r="G98" s="7" t="e">
        <f>VLOOKUP(C98,将池品质对照!A:C,3,0)</f>
        <v>#N/A</v>
      </c>
    </row>
    <row r="99" spans="1:7" s="27" customFormat="1" ht="16.5">
      <c r="A99" s="7">
        <v>7888</v>
      </c>
      <c r="B99" s="29">
        <v>405480</v>
      </c>
      <c r="C99" s="29" t="s">
        <v>304</v>
      </c>
      <c r="D99" s="28">
        <v>603</v>
      </c>
      <c r="E99" s="28" t="s">
        <v>266</v>
      </c>
      <c r="F99" s="26">
        <v>1290</v>
      </c>
      <c r="G99" s="7" t="e">
        <f>VLOOKUP(C99,将池品质对照!A:C,3,0)</f>
        <v>#N/A</v>
      </c>
    </row>
    <row r="100" spans="1:7" s="27" customFormat="1" ht="16.5">
      <c r="A100" s="7">
        <v>7889</v>
      </c>
      <c r="B100" s="29">
        <v>4012070</v>
      </c>
      <c r="C100" s="29" t="s">
        <v>305</v>
      </c>
      <c r="D100" s="28">
        <v>603</v>
      </c>
      <c r="E100" s="28" t="s">
        <v>266</v>
      </c>
      <c r="F100" s="26">
        <v>10</v>
      </c>
      <c r="G100" s="7" t="e">
        <f>VLOOKUP(C100,将池品质对照!A:C,3,0)</f>
        <v>#N/A</v>
      </c>
    </row>
    <row r="101" spans="1:7" s="27" customFormat="1" ht="16.5">
      <c r="A101" s="7">
        <v>7890</v>
      </c>
      <c r="B101" s="29">
        <v>4010120</v>
      </c>
      <c r="C101" s="29" t="s">
        <v>306</v>
      </c>
      <c r="D101" s="28">
        <v>603</v>
      </c>
      <c r="E101" s="28" t="s">
        <v>266</v>
      </c>
      <c r="F101" s="26">
        <v>30</v>
      </c>
      <c r="G101" s="7" t="e">
        <f>VLOOKUP(C101,将池品质对照!A:C,3,0)</f>
        <v>#N/A</v>
      </c>
    </row>
    <row r="102" spans="1:7" s="27" customFormat="1" ht="16.5">
      <c r="A102" s="7">
        <v>7891</v>
      </c>
      <c r="B102" s="29">
        <v>405540</v>
      </c>
      <c r="C102" s="29" t="s">
        <v>25</v>
      </c>
      <c r="D102" s="28">
        <v>603</v>
      </c>
      <c r="E102" s="28" t="s">
        <v>266</v>
      </c>
      <c r="F102" s="26">
        <v>30</v>
      </c>
      <c r="G102" s="7" t="str">
        <f>VLOOKUP(C102,将池品质对照!A:C,3,0)</f>
        <v>史诗</v>
      </c>
    </row>
    <row r="103" spans="1:7" s="27" customFormat="1" ht="16.5">
      <c r="A103" s="7">
        <v>7892</v>
      </c>
      <c r="B103" s="29">
        <v>405580</v>
      </c>
      <c r="C103" s="29" t="s">
        <v>28</v>
      </c>
      <c r="D103" s="28">
        <v>603</v>
      </c>
      <c r="E103" s="28" t="s">
        <v>266</v>
      </c>
      <c r="F103" s="26">
        <v>70</v>
      </c>
      <c r="G103" s="7" t="str">
        <f>VLOOKUP(C103,将池品质对照!A:C,3,0)</f>
        <v>史诗</v>
      </c>
    </row>
    <row r="104" spans="1:7" s="27" customFormat="1" ht="16.5">
      <c r="A104" s="7">
        <v>7893</v>
      </c>
      <c r="B104" s="29">
        <v>4010750</v>
      </c>
      <c r="C104" s="29" t="s">
        <v>34</v>
      </c>
      <c r="D104" s="28">
        <v>603</v>
      </c>
      <c r="E104" s="28" t="s">
        <v>266</v>
      </c>
      <c r="F104" s="26">
        <v>20</v>
      </c>
      <c r="G104" s="7" t="str">
        <f>VLOOKUP(C104,将池品质对照!A:C,3,0)</f>
        <v>史诗</v>
      </c>
    </row>
    <row r="105" spans="1:7" s="27" customFormat="1" ht="16.5">
      <c r="A105" s="7">
        <v>7894</v>
      </c>
      <c r="B105" s="29">
        <v>4010100</v>
      </c>
      <c r="C105" s="29" t="s">
        <v>40</v>
      </c>
      <c r="D105" s="28">
        <v>603</v>
      </c>
      <c r="E105" s="28" t="s">
        <v>266</v>
      </c>
      <c r="F105" s="26">
        <v>1400</v>
      </c>
      <c r="G105" s="7" t="str">
        <f>VLOOKUP(C105,将池品质对照!A:C,3,0)</f>
        <v>史诗</v>
      </c>
    </row>
    <row r="106" spans="1:7" s="27" customFormat="1" ht="16.5">
      <c r="A106" s="7">
        <v>7895</v>
      </c>
      <c r="B106" s="29">
        <v>4010110</v>
      </c>
      <c r="C106" s="29" t="s">
        <v>45</v>
      </c>
      <c r="D106" s="28">
        <v>603</v>
      </c>
      <c r="E106" s="28" t="s">
        <v>266</v>
      </c>
      <c r="F106" s="26">
        <v>760</v>
      </c>
      <c r="G106" s="7" t="str">
        <f>VLOOKUP(C106,将池品质对照!A:C,3,0)</f>
        <v>史诗</v>
      </c>
    </row>
    <row r="107" spans="1:7" s="27" customFormat="1" ht="16.5">
      <c r="A107" s="7">
        <v>7896</v>
      </c>
      <c r="B107" s="29">
        <v>4010140</v>
      </c>
      <c r="C107" s="29" t="s">
        <v>50</v>
      </c>
      <c r="D107" s="28">
        <v>603</v>
      </c>
      <c r="E107" s="28" t="s">
        <v>266</v>
      </c>
      <c r="F107" s="26">
        <v>40</v>
      </c>
      <c r="G107" s="7" t="str">
        <f>VLOOKUP(C107,将池品质对照!A:C,3,0)</f>
        <v>史诗</v>
      </c>
    </row>
    <row r="108" spans="1:7" s="27" customFormat="1" ht="16.5">
      <c r="A108" s="7">
        <v>7897</v>
      </c>
      <c r="B108" s="29">
        <v>4010130</v>
      </c>
      <c r="C108" s="29" t="s">
        <v>55</v>
      </c>
      <c r="D108" s="28">
        <v>603</v>
      </c>
      <c r="E108" s="28" t="s">
        <v>266</v>
      </c>
      <c r="F108" s="26">
        <v>840</v>
      </c>
      <c r="G108" s="7" t="str">
        <f>VLOOKUP(C108,将池品质对照!A:C,3,0)</f>
        <v>史诗</v>
      </c>
    </row>
    <row r="109" spans="1:7" s="27" customFormat="1" ht="16.5">
      <c r="A109" s="7">
        <v>7898</v>
      </c>
      <c r="B109" s="29">
        <v>4010760</v>
      </c>
      <c r="C109" s="29" t="s">
        <v>60</v>
      </c>
      <c r="D109" s="28">
        <v>603</v>
      </c>
      <c r="E109" s="28" t="s">
        <v>266</v>
      </c>
      <c r="F109" s="26">
        <v>780</v>
      </c>
      <c r="G109" s="7" t="str">
        <f>VLOOKUP(C109,将池品质对照!A:C,3,0)</f>
        <v>史诗</v>
      </c>
    </row>
    <row r="110" spans="1:7" s="27" customFormat="1" ht="16.5">
      <c r="A110" s="7">
        <v>7899</v>
      </c>
      <c r="B110" s="29">
        <v>405630</v>
      </c>
      <c r="C110" s="29" t="s">
        <v>65</v>
      </c>
      <c r="D110" s="28">
        <v>603</v>
      </c>
      <c r="E110" s="28" t="s">
        <v>266</v>
      </c>
      <c r="F110" s="26">
        <v>90</v>
      </c>
      <c r="G110" s="7" t="str">
        <f>VLOOKUP(C110,将池品质对照!A:C,3,0)</f>
        <v>史诗</v>
      </c>
    </row>
    <row r="111" spans="1:7" s="27" customFormat="1" ht="16.5">
      <c r="A111" s="7">
        <v>7900</v>
      </c>
      <c r="B111" s="29">
        <v>4011100</v>
      </c>
      <c r="C111" s="29" t="s">
        <v>70</v>
      </c>
      <c r="D111" s="28">
        <v>603</v>
      </c>
      <c r="E111" s="28" t="s">
        <v>266</v>
      </c>
      <c r="F111" s="26">
        <v>10</v>
      </c>
      <c r="G111" s="7" t="str">
        <f>VLOOKUP(C111,将池品质对照!A:C,3,0)</f>
        <v>史诗</v>
      </c>
    </row>
    <row r="112" spans="1:7" s="27" customFormat="1" ht="16.5">
      <c r="A112" s="7">
        <v>7901</v>
      </c>
      <c r="B112" s="29">
        <v>406090</v>
      </c>
      <c r="C112" s="29" t="s">
        <v>75</v>
      </c>
      <c r="D112" s="28">
        <v>603</v>
      </c>
      <c r="E112" s="28" t="s">
        <v>266</v>
      </c>
      <c r="F112" s="26">
        <v>30</v>
      </c>
      <c r="G112" s="7" t="str">
        <f>VLOOKUP(C112,将池品质对照!A:C,3,0)</f>
        <v>史诗</v>
      </c>
    </row>
    <row r="113" spans="1:7" s="27" customFormat="1" ht="16.5">
      <c r="A113" s="7">
        <v>7902</v>
      </c>
      <c r="B113" s="29">
        <v>4010160</v>
      </c>
      <c r="C113" s="29" t="s">
        <v>80</v>
      </c>
      <c r="D113" s="28">
        <v>603</v>
      </c>
      <c r="E113" s="28" t="s">
        <v>266</v>
      </c>
      <c r="F113" s="26">
        <v>240</v>
      </c>
      <c r="G113" s="7" t="str">
        <f>VLOOKUP(C113,将池品质对照!A:C,3,0)</f>
        <v>史诗</v>
      </c>
    </row>
    <row r="114" spans="1:7" s="27" customFormat="1" ht="16.5">
      <c r="A114" s="7">
        <v>7903</v>
      </c>
      <c r="B114" s="29">
        <v>4013010</v>
      </c>
      <c r="C114" s="29" t="s">
        <v>85</v>
      </c>
      <c r="D114" s="28">
        <v>603</v>
      </c>
      <c r="E114" s="28" t="s">
        <v>266</v>
      </c>
      <c r="F114" s="26">
        <v>10</v>
      </c>
      <c r="G114" s="7" t="str">
        <f>VLOOKUP(C114,将池品质对照!A:C,3,0)</f>
        <v>史诗</v>
      </c>
    </row>
    <row r="115" spans="1:7" s="27" customFormat="1" ht="16.5">
      <c r="A115" s="7">
        <v>7904</v>
      </c>
      <c r="B115" s="29">
        <v>4011210</v>
      </c>
      <c r="C115" s="29" t="s">
        <v>89</v>
      </c>
      <c r="D115" s="28">
        <v>603</v>
      </c>
      <c r="E115" s="28" t="s">
        <v>266</v>
      </c>
      <c r="F115" s="26">
        <v>40</v>
      </c>
      <c r="G115" s="7" t="str">
        <f>VLOOKUP(C115,将池品质对照!A:C,3,0)</f>
        <v>史诗</v>
      </c>
    </row>
    <row r="116" spans="1:7" s="27" customFormat="1" ht="16.5">
      <c r="A116" s="7">
        <v>7905</v>
      </c>
      <c r="B116" s="29">
        <v>4011920</v>
      </c>
      <c r="C116" s="29" t="s">
        <v>307</v>
      </c>
      <c r="D116" s="28">
        <v>603</v>
      </c>
      <c r="E116" s="28" t="s">
        <v>266</v>
      </c>
      <c r="F116" s="26">
        <v>500</v>
      </c>
      <c r="G116" s="7" t="e">
        <f>VLOOKUP(C116,将池品质对照!A:C,3,0)</f>
        <v>#N/A</v>
      </c>
    </row>
    <row r="117" spans="1:7" s="27" customFormat="1" ht="16.5">
      <c r="A117" s="7">
        <v>7906</v>
      </c>
      <c r="B117" s="29">
        <v>4010090</v>
      </c>
      <c r="C117" s="29" t="s">
        <v>308</v>
      </c>
      <c r="D117" s="28">
        <v>603</v>
      </c>
      <c r="E117" s="28" t="s">
        <v>266</v>
      </c>
      <c r="F117" s="26">
        <v>140</v>
      </c>
      <c r="G117" s="7" t="e">
        <f>VLOOKUP(C117,将池品质对照!A:C,3,0)</f>
        <v>#N/A</v>
      </c>
    </row>
    <row r="118" spans="1:7" s="27" customFormat="1" ht="16.5">
      <c r="A118" s="7">
        <v>7907</v>
      </c>
      <c r="B118" s="29">
        <v>4011010</v>
      </c>
      <c r="C118" s="29" t="s">
        <v>309</v>
      </c>
      <c r="D118" s="28">
        <v>603</v>
      </c>
      <c r="E118" s="28" t="s">
        <v>266</v>
      </c>
      <c r="F118" s="26">
        <v>330</v>
      </c>
      <c r="G118" s="7" t="e">
        <f>VLOOKUP(C118,将池品质对照!A:C,3,0)</f>
        <v>#N/A</v>
      </c>
    </row>
    <row r="119" spans="1:7" s="27" customFormat="1" ht="16.5">
      <c r="A119" s="7">
        <v>7908</v>
      </c>
      <c r="B119" s="29">
        <v>4011200</v>
      </c>
      <c r="C119" s="29" t="s">
        <v>310</v>
      </c>
      <c r="D119" s="28">
        <v>603</v>
      </c>
      <c r="E119" s="28" t="s">
        <v>266</v>
      </c>
      <c r="F119" s="26">
        <v>210</v>
      </c>
      <c r="G119" s="7" t="e">
        <f>VLOOKUP(C119,将池品质对照!A:C,3,0)</f>
        <v>#N/A</v>
      </c>
    </row>
    <row r="120" spans="1:7" s="27" customFormat="1" ht="16.5">
      <c r="A120" s="7">
        <v>7909</v>
      </c>
      <c r="B120" s="29">
        <v>4011510</v>
      </c>
      <c r="C120" s="29" t="s">
        <v>311</v>
      </c>
      <c r="D120" s="28">
        <v>603</v>
      </c>
      <c r="E120" s="28" t="s">
        <v>266</v>
      </c>
      <c r="F120" s="26">
        <v>150</v>
      </c>
      <c r="G120" s="7" t="e">
        <f>VLOOKUP(C120,将池品质对照!A:C,3,0)</f>
        <v>#N/A</v>
      </c>
    </row>
    <row r="121" spans="1:7" s="27" customFormat="1" ht="16.5">
      <c r="A121" s="7">
        <v>7910</v>
      </c>
      <c r="B121" s="29">
        <v>4010770</v>
      </c>
      <c r="C121" s="29" t="s">
        <v>312</v>
      </c>
      <c r="D121" s="28">
        <v>603</v>
      </c>
      <c r="E121" s="28" t="s">
        <v>266</v>
      </c>
      <c r="F121" s="26">
        <v>30</v>
      </c>
      <c r="G121" s="7" t="e">
        <f>VLOOKUP(C121,将池品质对照!A:C,3,0)</f>
        <v>#N/A</v>
      </c>
    </row>
    <row r="122" spans="1:7" s="27" customFormat="1" ht="16.5">
      <c r="A122" s="7">
        <v>7911</v>
      </c>
      <c r="B122" s="29">
        <v>419000</v>
      </c>
      <c r="C122" s="29" t="s">
        <v>313</v>
      </c>
      <c r="D122" s="28">
        <v>603</v>
      </c>
      <c r="E122" s="28" t="s">
        <v>266</v>
      </c>
      <c r="F122" s="26">
        <v>290</v>
      </c>
      <c r="G122" s="7" t="e">
        <f>VLOOKUP(C122,将池品质对照!A:C,3,0)</f>
        <v>#N/A</v>
      </c>
    </row>
    <row r="123" spans="1:7" s="27" customFormat="1" ht="16.5">
      <c r="A123" s="7">
        <v>7912</v>
      </c>
      <c r="B123" s="29">
        <v>4010720</v>
      </c>
      <c r="C123" s="29" t="s">
        <v>314</v>
      </c>
      <c r="D123" s="28">
        <v>603</v>
      </c>
      <c r="E123" s="28" t="s">
        <v>266</v>
      </c>
      <c r="F123" s="26">
        <v>260</v>
      </c>
      <c r="G123" s="7" t="e">
        <f>VLOOKUP(C123,将池品质对照!A:C,3,0)</f>
        <v>#N/A</v>
      </c>
    </row>
    <row r="124" spans="1:7" s="27" customFormat="1" ht="16.5">
      <c r="A124" s="7">
        <v>7913</v>
      </c>
      <c r="B124" s="29">
        <v>4019010</v>
      </c>
      <c r="C124" s="29" t="s">
        <v>26</v>
      </c>
      <c r="D124" s="28">
        <v>603</v>
      </c>
      <c r="E124" s="28" t="s">
        <v>266</v>
      </c>
      <c r="F124" s="26">
        <v>450</v>
      </c>
      <c r="G124" s="7" t="str">
        <f>VLOOKUP(C124,将池品质对照!A:C,3,0)</f>
        <v>稀有</v>
      </c>
    </row>
    <row r="125" spans="1:7" s="27" customFormat="1" ht="16.5">
      <c r="A125" s="7">
        <v>7914</v>
      </c>
      <c r="B125" s="29">
        <v>4011230</v>
      </c>
      <c r="C125" s="29" t="s">
        <v>29</v>
      </c>
      <c r="D125" s="28">
        <v>603</v>
      </c>
      <c r="E125" s="28" t="s">
        <v>266</v>
      </c>
      <c r="F125" s="26">
        <v>600</v>
      </c>
      <c r="G125" s="7" t="str">
        <f>VLOOKUP(C125,将池品质对照!A:C,3,0)</f>
        <v>史诗</v>
      </c>
    </row>
    <row r="126" spans="1:7" s="27" customFormat="1" ht="16.5">
      <c r="A126" s="7">
        <v>7915</v>
      </c>
      <c r="B126" s="29">
        <v>4011500</v>
      </c>
      <c r="C126" s="29" t="s">
        <v>35</v>
      </c>
      <c r="D126" s="28">
        <v>603</v>
      </c>
      <c r="E126" s="28" t="s">
        <v>266</v>
      </c>
      <c r="F126" s="26">
        <v>20</v>
      </c>
      <c r="G126" s="7" t="str">
        <f>VLOOKUP(C126,将池品质对照!A:C,3,0)</f>
        <v>史诗</v>
      </c>
    </row>
    <row r="127" spans="1:7" s="27" customFormat="1" ht="16.5">
      <c r="A127" s="7">
        <v>7916</v>
      </c>
      <c r="B127" s="29">
        <v>4010330</v>
      </c>
      <c r="C127" s="29" t="s">
        <v>41</v>
      </c>
      <c r="D127" s="28">
        <v>603</v>
      </c>
      <c r="E127" s="28" t="s">
        <v>266</v>
      </c>
      <c r="F127" s="26">
        <v>10</v>
      </c>
      <c r="G127" s="7" t="str">
        <f>VLOOKUP(C127,将池品质对照!A:C,3,0)</f>
        <v>史诗</v>
      </c>
    </row>
    <row r="128" spans="1:7" s="27" customFormat="1" ht="16.5">
      <c r="A128" s="7">
        <v>7917</v>
      </c>
      <c r="B128" s="29">
        <v>4011220</v>
      </c>
      <c r="C128" s="29" t="s">
        <v>46</v>
      </c>
      <c r="D128" s="28">
        <v>603</v>
      </c>
      <c r="E128" s="28" t="s">
        <v>266</v>
      </c>
      <c r="F128" s="26">
        <v>110</v>
      </c>
      <c r="G128" s="7" t="str">
        <f>VLOOKUP(C128,将池品质对照!A:C,3,0)</f>
        <v>史诗</v>
      </c>
    </row>
    <row r="129" spans="1:7" s="27" customFormat="1" ht="16.5">
      <c r="A129" s="7">
        <v>7918</v>
      </c>
      <c r="B129" s="29">
        <v>4019550</v>
      </c>
      <c r="C129" s="29" t="s">
        <v>51</v>
      </c>
      <c r="D129" s="28">
        <v>603</v>
      </c>
      <c r="E129" s="28" t="s">
        <v>266</v>
      </c>
      <c r="F129" s="26">
        <v>30</v>
      </c>
      <c r="G129" s="7" t="str">
        <f>VLOOKUP(C129,将池品质对照!A:C,3,0)</f>
        <v>史诗</v>
      </c>
    </row>
    <row r="130" spans="1:7" s="27" customFormat="1" ht="16.5">
      <c r="A130" s="7">
        <v>7919</v>
      </c>
      <c r="B130" s="29">
        <v>4011520</v>
      </c>
      <c r="C130" s="29" t="s">
        <v>56</v>
      </c>
      <c r="D130" s="28">
        <v>603</v>
      </c>
      <c r="E130" s="28" t="s">
        <v>266</v>
      </c>
      <c r="F130" s="26">
        <v>4240</v>
      </c>
      <c r="G130" s="7" t="str">
        <f>VLOOKUP(C130,将池品质对照!A:C,3,0)</f>
        <v>史诗</v>
      </c>
    </row>
    <row r="131" spans="1:7" s="27" customFormat="1" ht="16.5">
      <c r="A131" s="7">
        <v>7920</v>
      </c>
      <c r="B131" s="29">
        <v>4019030</v>
      </c>
      <c r="C131" s="29" t="s">
        <v>61</v>
      </c>
      <c r="D131" s="28">
        <v>603</v>
      </c>
      <c r="E131" s="28" t="s">
        <v>266</v>
      </c>
      <c r="F131" s="26">
        <v>2540</v>
      </c>
      <c r="G131" s="7" t="str">
        <f>VLOOKUP(C131,将池品质对照!A:C,3,0)</f>
        <v>史诗</v>
      </c>
    </row>
    <row r="132" spans="1:7" s="27" customFormat="1" ht="16.5">
      <c r="A132" s="7">
        <v>7921</v>
      </c>
      <c r="B132" s="29">
        <v>4010310</v>
      </c>
      <c r="C132" s="29" t="s">
        <v>66</v>
      </c>
      <c r="D132" s="28">
        <v>603</v>
      </c>
      <c r="E132" s="28" t="s">
        <v>266</v>
      </c>
      <c r="F132" s="26">
        <v>270</v>
      </c>
      <c r="G132" s="7" t="str">
        <f>VLOOKUP(C132,将池品质对照!A:C,3,0)</f>
        <v>史诗</v>
      </c>
    </row>
    <row r="133" spans="1:7" s="27" customFormat="1" ht="16.5">
      <c r="A133" s="7">
        <v>7922</v>
      </c>
      <c r="B133" s="29">
        <v>4010790</v>
      </c>
      <c r="C133" s="29" t="s">
        <v>71</v>
      </c>
      <c r="D133" s="28">
        <v>603</v>
      </c>
      <c r="E133" s="28" t="s">
        <v>266</v>
      </c>
      <c r="F133" s="26">
        <v>15670</v>
      </c>
      <c r="G133" s="7" t="str">
        <f>VLOOKUP(C133,将池品质对照!A:C,3,0)</f>
        <v>史诗</v>
      </c>
    </row>
    <row r="134" spans="1:7" s="27" customFormat="1" ht="16.5">
      <c r="A134" s="7">
        <v>7923</v>
      </c>
      <c r="B134" s="29">
        <v>4010800</v>
      </c>
      <c r="C134" s="29" t="s">
        <v>76</v>
      </c>
      <c r="D134" s="28">
        <v>603</v>
      </c>
      <c r="E134" s="28" t="s">
        <v>266</v>
      </c>
      <c r="F134" s="26">
        <v>4570</v>
      </c>
      <c r="G134" s="7" t="str">
        <f>VLOOKUP(C134,将池品质对照!A:C,3,0)</f>
        <v>史诗</v>
      </c>
    </row>
    <row r="135" spans="1:7" s="27" customFormat="1" ht="16.5">
      <c r="A135" s="7">
        <v>7924</v>
      </c>
      <c r="B135" s="29">
        <v>4010320</v>
      </c>
      <c r="C135" s="29" t="s">
        <v>81</v>
      </c>
      <c r="D135" s="28">
        <v>603</v>
      </c>
      <c r="E135" s="28" t="s">
        <v>266</v>
      </c>
      <c r="F135" s="26">
        <v>180</v>
      </c>
      <c r="G135" s="7" t="str">
        <f>VLOOKUP(C135,将池品质对照!A:C,3,0)</f>
        <v>稀有</v>
      </c>
    </row>
    <row r="136" spans="1:7" s="7" customFormat="1" ht="16.5">
      <c r="A136" s="7">
        <v>7925</v>
      </c>
      <c r="B136" s="30">
        <v>400270</v>
      </c>
      <c r="C136" s="31" t="s">
        <v>90</v>
      </c>
      <c r="D136" s="30">
        <v>604</v>
      </c>
      <c r="E136" s="30" t="s">
        <v>266</v>
      </c>
      <c r="F136" s="32">
        <v>150</v>
      </c>
      <c r="G136" s="7" t="str">
        <f>VLOOKUP(C136,将池品质对照!A:C,3,0)</f>
        <v>稀有</v>
      </c>
    </row>
    <row r="137" spans="1:7" s="7" customFormat="1" ht="16.5">
      <c r="A137" s="7">
        <v>7926</v>
      </c>
      <c r="B137" s="30">
        <v>400280</v>
      </c>
      <c r="C137" s="31" t="s">
        <v>98</v>
      </c>
      <c r="D137" s="30">
        <v>604</v>
      </c>
      <c r="E137" s="30" t="s">
        <v>266</v>
      </c>
      <c r="F137" s="32">
        <v>150</v>
      </c>
      <c r="G137" s="7" t="str">
        <f>VLOOKUP(C137,将池品质对照!A:C,3,0)</f>
        <v>稀有</v>
      </c>
    </row>
    <row r="138" spans="1:7" s="7" customFormat="1" ht="16.5">
      <c r="A138" s="7">
        <v>7927</v>
      </c>
      <c r="B138" s="30">
        <v>400300</v>
      </c>
      <c r="C138" s="31" t="s">
        <v>105</v>
      </c>
      <c r="D138" s="30">
        <v>604</v>
      </c>
      <c r="E138" s="30" t="s">
        <v>266</v>
      </c>
      <c r="F138" s="32">
        <v>100</v>
      </c>
      <c r="G138" s="7" t="str">
        <f>VLOOKUP(C138,将池品质对照!A:C,3,0)</f>
        <v>稀有</v>
      </c>
    </row>
    <row r="139" spans="1:7" s="7" customFormat="1" ht="16.5">
      <c r="A139" s="7">
        <v>7928</v>
      </c>
      <c r="B139" s="30">
        <v>400310</v>
      </c>
      <c r="C139" s="31" t="s">
        <v>112</v>
      </c>
      <c r="D139" s="30">
        <v>604</v>
      </c>
      <c r="E139" s="30" t="s">
        <v>266</v>
      </c>
      <c r="F139" s="32">
        <v>150</v>
      </c>
      <c r="G139" s="7" t="str">
        <f>VLOOKUP(C139,将池品质对照!A:C,3,0)</f>
        <v>稀有</v>
      </c>
    </row>
    <row r="140" spans="1:7" s="7" customFormat="1" ht="16.5">
      <c r="A140" s="7">
        <v>7929</v>
      </c>
      <c r="B140" s="30">
        <v>400320</v>
      </c>
      <c r="C140" s="31" t="s">
        <v>119</v>
      </c>
      <c r="D140" s="30">
        <v>604</v>
      </c>
      <c r="E140" s="30" t="s">
        <v>266</v>
      </c>
      <c r="F140" s="32">
        <v>100</v>
      </c>
      <c r="G140" s="7" t="str">
        <f>VLOOKUP(C140,将池品质对照!A:C,3,0)</f>
        <v>稀有</v>
      </c>
    </row>
    <row r="141" spans="1:7" s="7" customFormat="1" ht="16.5">
      <c r="A141" s="7">
        <v>7930</v>
      </c>
      <c r="B141" s="30">
        <v>400330</v>
      </c>
      <c r="C141" s="31" t="s">
        <v>126</v>
      </c>
      <c r="D141" s="30">
        <v>604</v>
      </c>
      <c r="E141" s="30" t="s">
        <v>266</v>
      </c>
      <c r="F141" s="32">
        <v>100</v>
      </c>
      <c r="G141" s="7" t="str">
        <f>VLOOKUP(C141,将池品质对照!A:C,3,0)</f>
        <v>稀有</v>
      </c>
    </row>
    <row r="142" spans="1:7" s="7" customFormat="1" ht="16.5">
      <c r="A142" s="7">
        <v>7931</v>
      </c>
      <c r="B142" s="30">
        <v>400360</v>
      </c>
      <c r="C142" s="31" t="s">
        <v>133</v>
      </c>
      <c r="D142" s="30">
        <v>604</v>
      </c>
      <c r="E142" s="30" t="s">
        <v>266</v>
      </c>
      <c r="F142" s="32">
        <v>150</v>
      </c>
      <c r="G142" s="7" t="str">
        <f>VLOOKUP(C142,将池品质对照!A:C,3,0)</f>
        <v>稀有</v>
      </c>
    </row>
    <row r="143" spans="1:7" s="7" customFormat="1" ht="16.5">
      <c r="A143" s="7">
        <v>7932</v>
      </c>
      <c r="B143" s="30">
        <v>400440</v>
      </c>
      <c r="C143" s="31" t="s">
        <v>139</v>
      </c>
      <c r="D143" s="30">
        <v>604</v>
      </c>
      <c r="E143" s="30" t="s">
        <v>266</v>
      </c>
      <c r="F143" s="32">
        <v>150</v>
      </c>
      <c r="G143" s="7" t="str">
        <f>VLOOKUP(C143,将池品质对照!A:C,3,0)</f>
        <v>稀有</v>
      </c>
    </row>
    <row r="144" spans="1:7" s="7" customFormat="1" ht="16.5">
      <c r="A144" s="7">
        <v>7933</v>
      </c>
      <c r="B144" s="30">
        <v>400490</v>
      </c>
      <c r="C144" s="31" t="s">
        <v>145</v>
      </c>
      <c r="D144" s="30">
        <v>604</v>
      </c>
      <c r="E144" s="30" t="s">
        <v>266</v>
      </c>
      <c r="F144" s="32">
        <v>150</v>
      </c>
      <c r="G144" s="7" t="str">
        <f>VLOOKUP(C144,将池品质对照!A:C,3,0)</f>
        <v>稀有</v>
      </c>
    </row>
    <row r="145" spans="1:7" s="7" customFormat="1" ht="16.5">
      <c r="A145" s="7">
        <v>7934</v>
      </c>
      <c r="B145" s="30">
        <v>400500</v>
      </c>
      <c r="C145" s="31" t="s">
        <v>151</v>
      </c>
      <c r="D145" s="30">
        <v>604</v>
      </c>
      <c r="E145" s="30" t="s">
        <v>266</v>
      </c>
      <c r="F145" s="32">
        <v>150</v>
      </c>
      <c r="G145" s="7" t="str">
        <f>VLOOKUP(C145,将池品质对照!A:C,3,0)</f>
        <v>稀有</v>
      </c>
    </row>
    <row r="146" spans="1:7" s="7" customFormat="1" ht="16.5">
      <c r="A146" s="7">
        <v>7935</v>
      </c>
      <c r="B146" s="30">
        <v>400510</v>
      </c>
      <c r="C146" s="31" t="s">
        <v>157</v>
      </c>
      <c r="D146" s="30">
        <v>604</v>
      </c>
      <c r="E146" s="30" t="s">
        <v>266</v>
      </c>
      <c r="F146" s="32">
        <v>150</v>
      </c>
      <c r="G146" s="7" t="str">
        <f>VLOOKUP(C146,将池品质对照!A:C,3,0)</f>
        <v>稀有</v>
      </c>
    </row>
    <row r="147" spans="1:7" s="7" customFormat="1" ht="16.5">
      <c r="A147" s="7">
        <v>7936</v>
      </c>
      <c r="B147" s="30">
        <v>400520</v>
      </c>
      <c r="C147" s="31" t="s">
        <v>92</v>
      </c>
      <c r="D147" s="30">
        <v>604</v>
      </c>
      <c r="E147" s="30" t="s">
        <v>266</v>
      </c>
      <c r="F147" s="32">
        <v>100</v>
      </c>
      <c r="G147" s="7" t="str">
        <f>VLOOKUP(C147,将池品质对照!A:C,3,0)</f>
        <v>稀有</v>
      </c>
    </row>
    <row r="148" spans="1:7" s="7" customFormat="1" ht="16.5">
      <c r="A148" s="7">
        <v>7937</v>
      </c>
      <c r="B148" s="30">
        <v>400530</v>
      </c>
      <c r="C148" s="31" t="s">
        <v>99</v>
      </c>
      <c r="D148" s="30">
        <v>604</v>
      </c>
      <c r="E148" s="30" t="s">
        <v>266</v>
      </c>
      <c r="F148" s="32">
        <v>150</v>
      </c>
      <c r="G148" s="7" t="str">
        <f>VLOOKUP(C148,将池品质对照!A:C,3,0)</f>
        <v>稀有</v>
      </c>
    </row>
    <row r="149" spans="1:7" s="7" customFormat="1" ht="16.5">
      <c r="A149" s="7">
        <v>7938</v>
      </c>
      <c r="B149" s="30">
        <v>400540</v>
      </c>
      <c r="C149" s="31" t="s">
        <v>106</v>
      </c>
      <c r="D149" s="30">
        <v>604</v>
      </c>
      <c r="E149" s="30" t="s">
        <v>266</v>
      </c>
      <c r="F149" s="32">
        <v>150</v>
      </c>
      <c r="G149" s="7" t="str">
        <f>VLOOKUP(C149,将池品质对照!A:C,3,0)</f>
        <v>稀有</v>
      </c>
    </row>
    <row r="150" spans="1:7" s="7" customFormat="1" ht="16.5">
      <c r="A150" s="7">
        <v>7939</v>
      </c>
      <c r="B150" s="30">
        <v>400550</v>
      </c>
      <c r="C150" s="31" t="s">
        <v>113</v>
      </c>
      <c r="D150" s="30">
        <v>604</v>
      </c>
      <c r="E150" s="30" t="s">
        <v>266</v>
      </c>
      <c r="F150" s="32">
        <v>150</v>
      </c>
      <c r="G150" s="7" t="str">
        <f>VLOOKUP(C150,将池品质对照!A:C,3,0)</f>
        <v>稀有</v>
      </c>
    </row>
    <row r="151" spans="1:7" s="7" customFormat="1" ht="16.5">
      <c r="A151" s="7">
        <v>7940</v>
      </c>
      <c r="B151" s="30">
        <v>400560</v>
      </c>
      <c r="C151" s="31" t="s">
        <v>120</v>
      </c>
      <c r="D151" s="30">
        <v>604</v>
      </c>
      <c r="E151" s="30" t="s">
        <v>266</v>
      </c>
      <c r="F151" s="32">
        <v>100</v>
      </c>
      <c r="G151" s="7" t="str">
        <f>VLOOKUP(C151,将池品质对照!A:C,3,0)</f>
        <v>稀有</v>
      </c>
    </row>
    <row r="152" spans="1:7" s="7" customFormat="1" ht="16.5">
      <c r="A152" s="7">
        <v>7941</v>
      </c>
      <c r="B152" s="30">
        <v>400580</v>
      </c>
      <c r="C152" s="31" t="s">
        <v>127</v>
      </c>
      <c r="D152" s="30">
        <v>604</v>
      </c>
      <c r="E152" s="30" t="s">
        <v>266</v>
      </c>
      <c r="F152" s="32">
        <v>100</v>
      </c>
      <c r="G152" s="7" t="str">
        <f>VLOOKUP(C152,将池品质对照!A:C,3,0)</f>
        <v>稀有</v>
      </c>
    </row>
    <row r="153" spans="1:7" s="7" customFormat="1" ht="16.5">
      <c r="A153" s="7">
        <v>7942</v>
      </c>
      <c r="B153" s="30">
        <v>400920</v>
      </c>
      <c r="C153" s="30" t="s">
        <v>134</v>
      </c>
      <c r="D153" s="30">
        <v>604</v>
      </c>
      <c r="E153" s="30" t="s">
        <v>266</v>
      </c>
      <c r="F153" s="32">
        <v>150</v>
      </c>
      <c r="G153" s="7" t="str">
        <f>VLOOKUP(C153,将池品质对照!A:C,3,0)</f>
        <v>稀有</v>
      </c>
    </row>
    <row r="154" spans="1:7" s="7" customFormat="1" ht="16.5">
      <c r="A154" s="7">
        <v>7943</v>
      </c>
      <c r="B154" s="30">
        <v>400940</v>
      </c>
      <c r="C154" s="30" t="s">
        <v>140</v>
      </c>
      <c r="D154" s="30">
        <v>604</v>
      </c>
      <c r="E154" s="30" t="s">
        <v>266</v>
      </c>
      <c r="F154" s="32">
        <v>100</v>
      </c>
      <c r="G154" s="7" t="str">
        <f>VLOOKUP(C154,将池品质对照!A:C,3,0)</f>
        <v>稀有</v>
      </c>
    </row>
    <row r="155" spans="1:7" s="7" customFormat="1" ht="16.5">
      <c r="A155" s="7">
        <v>7944</v>
      </c>
      <c r="B155" s="30">
        <v>400960</v>
      </c>
      <c r="C155" s="30" t="s">
        <v>146</v>
      </c>
      <c r="D155" s="30">
        <v>604</v>
      </c>
      <c r="E155" s="30" t="s">
        <v>266</v>
      </c>
      <c r="F155" s="32">
        <v>150</v>
      </c>
      <c r="G155" s="7" t="str">
        <f>VLOOKUP(C155,将池品质对照!A:C,3,0)</f>
        <v>稀有</v>
      </c>
    </row>
    <row r="156" spans="1:7" s="7" customFormat="1" ht="16.5">
      <c r="A156" s="7">
        <v>7945</v>
      </c>
      <c r="B156" s="30">
        <v>400990</v>
      </c>
      <c r="C156" s="30" t="s">
        <v>152</v>
      </c>
      <c r="D156" s="30">
        <v>604</v>
      </c>
      <c r="E156" s="30" t="s">
        <v>266</v>
      </c>
      <c r="F156" s="32">
        <v>150</v>
      </c>
      <c r="G156" s="7" t="str">
        <f>VLOOKUP(C156,将池品质对照!A:C,3,0)</f>
        <v>稀有</v>
      </c>
    </row>
    <row r="157" spans="1:7" s="7" customFormat="1" ht="16.5">
      <c r="A157" s="7">
        <v>7946</v>
      </c>
      <c r="B157" s="30">
        <v>401000</v>
      </c>
      <c r="C157" s="30" t="s">
        <v>158</v>
      </c>
      <c r="D157" s="30">
        <v>604</v>
      </c>
      <c r="E157" s="30" t="s">
        <v>266</v>
      </c>
      <c r="F157" s="32">
        <v>100</v>
      </c>
      <c r="G157" s="7" t="str">
        <f>VLOOKUP(C157,将池品质对照!A:C,3,0)</f>
        <v>稀有</v>
      </c>
    </row>
    <row r="158" spans="1:7" s="7" customFormat="1" ht="16.5">
      <c r="A158" s="7">
        <v>7947</v>
      </c>
      <c r="B158" s="30">
        <v>401020</v>
      </c>
      <c r="C158" s="30" t="s">
        <v>93</v>
      </c>
      <c r="D158" s="30">
        <v>604</v>
      </c>
      <c r="E158" s="30" t="s">
        <v>266</v>
      </c>
      <c r="F158" s="32">
        <v>150</v>
      </c>
      <c r="G158" s="7" t="str">
        <f>VLOOKUP(C158,将池品质对照!A:C,3,0)</f>
        <v>稀有</v>
      </c>
    </row>
    <row r="159" spans="1:7" s="7" customFormat="1" ht="16.5">
      <c r="A159" s="7">
        <v>7948</v>
      </c>
      <c r="B159" s="30">
        <v>402940</v>
      </c>
      <c r="C159" s="31" t="s">
        <v>100</v>
      </c>
      <c r="D159" s="30">
        <v>604</v>
      </c>
      <c r="E159" s="30" t="s">
        <v>266</v>
      </c>
      <c r="F159" s="32">
        <v>150</v>
      </c>
      <c r="G159" s="7" t="str">
        <f>VLOOKUP(C159,将池品质对照!A:C,3,0)</f>
        <v>稀有</v>
      </c>
    </row>
    <row r="160" spans="1:7" s="7" customFormat="1" ht="16.5">
      <c r="A160" s="7">
        <v>7949</v>
      </c>
      <c r="B160" s="30">
        <v>402970</v>
      </c>
      <c r="C160" s="31" t="s">
        <v>107</v>
      </c>
      <c r="D160" s="30">
        <v>604</v>
      </c>
      <c r="E160" s="30" t="s">
        <v>266</v>
      </c>
      <c r="F160" s="32">
        <v>100</v>
      </c>
      <c r="G160" s="7" t="str">
        <f>VLOOKUP(C160,将池品质对照!A:C,3,0)</f>
        <v>稀有</v>
      </c>
    </row>
    <row r="161" spans="1:7" s="7" customFormat="1" ht="16.5">
      <c r="A161" s="7">
        <v>7950</v>
      </c>
      <c r="B161" s="30">
        <v>402990</v>
      </c>
      <c r="C161" s="31" t="s">
        <v>114</v>
      </c>
      <c r="D161" s="30">
        <v>604</v>
      </c>
      <c r="E161" s="30" t="s">
        <v>266</v>
      </c>
      <c r="F161" s="32">
        <v>100</v>
      </c>
      <c r="G161" s="7" t="str">
        <f>VLOOKUP(C161,将池品质对照!A:C,3,0)</f>
        <v>稀有</v>
      </c>
    </row>
    <row r="162" spans="1:7" s="7" customFormat="1" ht="16.5">
      <c r="A162" s="7">
        <v>7951</v>
      </c>
      <c r="B162" s="30">
        <v>403020</v>
      </c>
      <c r="C162" s="31" t="s">
        <v>121</v>
      </c>
      <c r="D162" s="30">
        <v>604</v>
      </c>
      <c r="E162" s="30" t="s">
        <v>266</v>
      </c>
      <c r="F162" s="32">
        <v>100</v>
      </c>
      <c r="G162" s="7" t="str">
        <f>VLOOKUP(C162,将池品质对照!A:C,3,0)</f>
        <v>稀有</v>
      </c>
    </row>
    <row r="163" spans="1:7" s="7" customFormat="1" ht="16.5">
      <c r="A163" s="7">
        <v>7952</v>
      </c>
      <c r="B163" s="30">
        <v>403050</v>
      </c>
      <c r="C163" s="31" t="s">
        <v>128</v>
      </c>
      <c r="D163" s="30">
        <v>604</v>
      </c>
      <c r="E163" s="30" t="s">
        <v>266</v>
      </c>
      <c r="F163" s="32">
        <v>150</v>
      </c>
      <c r="G163" s="7" t="str">
        <f>VLOOKUP(C163,将池品质对照!A:C,3,0)</f>
        <v>稀有</v>
      </c>
    </row>
    <row r="164" spans="1:7" s="7" customFormat="1" ht="16.5">
      <c r="A164" s="7">
        <v>7953</v>
      </c>
      <c r="B164" s="30">
        <v>403060</v>
      </c>
      <c r="C164" s="31" t="s">
        <v>135</v>
      </c>
      <c r="D164" s="30">
        <v>604</v>
      </c>
      <c r="E164" s="30" t="s">
        <v>266</v>
      </c>
      <c r="F164" s="32">
        <v>150</v>
      </c>
      <c r="G164" s="7" t="str">
        <f>VLOOKUP(C164,将池品质对照!A:C,3,0)</f>
        <v>稀有</v>
      </c>
    </row>
    <row r="165" spans="1:7" s="7" customFormat="1" ht="16.5">
      <c r="A165" s="7">
        <v>7954</v>
      </c>
      <c r="B165" s="30">
        <v>403080</v>
      </c>
      <c r="C165" s="31" t="s">
        <v>141</v>
      </c>
      <c r="D165" s="30">
        <v>604</v>
      </c>
      <c r="E165" s="30" t="s">
        <v>266</v>
      </c>
      <c r="F165" s="32">
        <v>100</v>
      </c>
      <c r="G165" s="7" t="str">
        <f>VLOOKUP(C165,将池品质对照!A:C,3,0)</f>
        <v>稀有</v>
      </c>
    </row>
    <row r="166" spans="1:7" s="7" customFormat="1" ht="16.5">
      <c r="A166" s="7">
        <v>7955</v>
      </c>
      <c r="B166" s="30">
        <v>403100</v>
      </c>
      <c r="C166" s="31" t="s">
        <v>147</v>
      </c>
      <c r="D166" s="30">
        <v>604</v>
      </c>
      <c r="E166" s="30" t="s">
        <v>266</v>
      </c>
      <c r="F166" s="32">
        <v>150</v>
      </c>
      <c r="G166" s="7" t="str">
        <f>VLOOKUP(C166,将池品质对照!A:C,3,0)</f>
        <v>稀有</v>
      </c>
    </row>
    <row r="167" spans="1:7" s="7" customFormat="1" ht="16.5">
      <c r="A167" s="7">
        <v>7956</v>
      </c>
      <c r="B167" s="30">
        <v>403120</v>
      </c>
      <c r="C167" s="31" t="s">
        <v>153</v>
      </c>
      <c r="D167" s="30">
        <v>604</v>
      </c>
      <c r="E167" s="30" t="s">
        <v>266</v>
      </c>
      <c r="F167" s="32">
        <v>100</v>
      </c>
      <c r="G167" s="7" t="str">
        <f>VLOOKUP(C167,将池品质对照!A:C,3,0)</f>
        <v>稀有</v>
      </c>
    </row>
    <row r="168" spans="1:7" s="7" customFormat="1" ht="16.5">
      <c r="A168" s="7">
        <v>7957</v>
      </c>
      <c r="B168" s="30">
        <v>403150</v>
      </c>
      <c r="C168" s="31" t="s">
        <v>159</v>
      </c>
      <c r="D168" s="30">
        <v>604</v>
      </c>
      <c r="E168" s="30" t="s">
        <v>266</v>
      </c>
      <c r="F168" s="32">
        <v>100</v>
      </c>
      <c r="G168" s="7" t="str">
        <f>VLOOKUP(C168,将池品质对照!A:C,3,0)</f>
        <v>稀有</v>
      </c>
    </row>
    <row r="169" spans="1:7" s="7" customFormat="1" ht="16.5">
      <c r="A169" s="7">
        <v>7958</v>
      </c>
      <c r="B169" s="30">
        <v>403170</v>
      </c>
      <c r="C169" s="31" t="s">
        <v>94</v>
      </c>
      <c r="D169" s="30">
        <v>604</v>
      </c>
      <c r="E169" s="30" t="s">
        <v>266</v>
      </c>
      <c r="F169" s="32">
        <v>100</v>
      </c>
      <c r="G169" s="7" t="str">
        <f>VLOOKUP(C169,将池品质对照!A:C,3,0)</f>
        <v>稀有</v>
      </c>
    </row>
    <row r="170" spans="1:7" s="7" customFormat="1" ht="16.5">
      <c r="A170" s="7">
        <v>7959</v>
      </c>
      <c r="B170" s="30">
        <v>403190</v>
      </c>
      <c r="C170" s="31" t="s">
        <v>101</v>
      </c>
      <c r="D170" s="30">
        <v>604</v>
      </c>
      <c r="E170" s="30" t="s">
        <v>266</v>
      </c>
      <c r="F170" s="32">
        <v>100</v>
      </c>
      <c r="G170" s="7" t="str">
        <f>VLOOKUP(C170,将池品质对照!A:C,3,0)</f>
        <v>稀有</v>
      </c>
    </row>
    <row r="171" spans="1:7" s="7" customFormat="1" ht="16.5">
      <c r="A171" s="7">
        <v>7960</v>
      </c>
      <c r="B171" s="30">
        <v>403200</v>
      </c>
      <c r="C171" s="31" t="s">
        <v>108</v>
      </c>
      <c r="D171" s="30">
        <v>604</v>
      </c>
      <c r="E171" s="30" t="s">
        <v>266</v>
      </c>
      <c r="F171" s="32">
        <v>150</v>
      </c>
      <c r="G171" s="7" t="str">
        <f>VLOOKUP(C171,将池品质对照!A:C,3,0)</f>
        <v>稀有</v>
      </c>
    </row>
    <row r="172" spans="1:7" s="7" customFormat="1" ht="16.5">
      <c r="A172" s="7">
        <v>7961</v>
      </c>
      <c r="B172" s="30">
        <v>403260</v>
      </c>
      <c r="C172" s="31" t="s">
        <v>115</v>
      </c>
      <c r="D172" s="30">
        <v>604</v>
      </c>
      <c r="E172" s="30" t="s">
        <v>266</v>
      </c>
      <c r="F172" s="32">
        <v>100</v>
      </c>
      <c r="G172" s="7" t="str">
        <f>VLOOKUP(C172,将池品质对照!A:C,3,0)</f>
        <v>稀有</v>
      </c>
    </row>
    <row r="173" spans="1:7" s="7" customFormat="1" ht="16.5">
      <c r="A173" s="7">
        <v>7962</v>
      </c>
      <c r="B173" s="30">
        <v>403300</v>
      </c>
      <c r="C173" s="31" t="s">
        <v>122</v>
      </c>
      <c r="D173" s="30">
        <v>604</v>
      </c>
      <c r="E173" s="30" t="s">
        <v>266</v>
      </c>
      <c r="F173" s="32">
        <v>100</v>
      </c>
      <c r="G173" s="7" t="str">
        <f>VLOOKUP(C173,将池品质对照!A:C,3,0)</f>
        <v>稀有</v>
      </c>
    </row>
    <row r="174" spans="1:7" s="7" customFormat="1" ht="16.5">
      <c r="A174" s="7">
        <v>7963</v>
      </c>
      <c r="B174" s="30">
        <v>403320</v>
      </c>
      <c r="C174" s="31" t="s">
        <v>129</v>
      </c>
      <c r="D174" s="30">
        <v>604</v>
      </c>
      <c r="E174" s="30" t="s">
        <v>266</v>
      </c>
      <c r="F174" s="32">
        <v>150</v>
      </c>
      <c r="G174" s="7" t="str">
        <f>VLOOKUP(C174,将池品质对照!A:C,3,0)</f>
        <v>稀有</v>
      </c>
    </row>
    <row r="175" spans="1:7" s="7" customFormat="1" ht="16.5">
      <c r="A175" s="7">
        <v>7964</v>
      </c>
      <c r="B175" s="30">
        <v>403340</v>
      </c>
      <c r="C175" s="31" t="s">
        <v>136</v>
      </c>
      <c r="D175" s="30">
        <v>604</v>
      </c>
      <c r="E175" s="30" t="s">
        <v>266</v>
      </c>
      <c r="F175" s="32">
        <v>100</v>
      </c>
      <c r="G175" s="7" t="str">
        <f>VLOOKUP(C175,将池品质对照!A:C,3,0)</f>
        <v>稀有</v>
      </c>
    </row>
    <row r="176" spans="1:7" s="7" customFormat="1" ht="16.5">
      <c r="A176" s="7">
        <v>7965</v>
      </c>
      <c r="B176" s="30">
        <v>403360</v>
      </c>
      <c r="C176" s="31" t="s">
        <v>142</v>
      </c>
      <c r="D176" s="30">
        <v>604</v>
      </c>
      <c r="E176" s="30" t="s">
        <v>266</v>
      </c>
      <c r="F176" s="32">
        <v>100</v>
      </c>
      <c r="G176" s="7" t="str">
        <f>VLOOKUP(C176,将池品质对照!A:C,3,0)</f>
        <v>稀有</v>
      </c>
    </row>
    <row r="177" spans="1:7" s="7" customFormat="1" ht="16.5">
      <c r="A177" s="7">
        <v>7966</v>
      </c>
      <c r="B177" s="30">
        <v>403390</v>
      </c>
      <c r="C177" s="30" t="s">
        <v>148</v>
      </c>
      <c r="D177" s="30">
        <v>604</v>
      </c>
      <c r="E177" s="30" t="s">
        <v>266</v>
      </c>
      <c r="F177" s="32">
        <v>150</v>
      </c>
      <c r="G177" s="7" t="str">
        <f>VLOOKUP(C177,将池品质对照!A:C,3,0)</f>
        <v>稀有</v>
      </c>
    </row>
    <row r="178" spans="1:7" s="7" customFormat="1" ht="16.5">
      <c r="A178" s="7">
        <v>7967</v>
      </c>
      <c r="B178" s="30">
        <v>403420</v>
      </c>
      <c r="C178" s="31" t="s">
        <v>154</v>
      </c>
      <c r="D178" s="30">
        <v>604</v>
      </c>
      <c r="E178" s="30" t="s">
        <v>266</v>
      </c>
      <c r="F178" s="32">
        <v>150</v>
      </c>
      <c r="G178" s="7" t="str">
        <f>VLOOKUP(C178,将池品质对照!A:C,3,0)</f>
        <v>稀有</v>
      </c>
    </row>
    <row r="179" spans="1:7" s="7" customFormat="1" ht="16.5">
      <c r="A179" s="7">
        <v>7968</v>
      </c>
      <c r="B179" s="30">
        <v>404010</v>
      </c>
      <c r="C179" s="30" t="s">
        <v>160</v>
      </c>
      <c r="D179" s="30">
        <v>604</v>
      </c>
      <c r="E179" s="30" t="s">
        <v>266</v>
      </c>
      <c r="F179" s="32">
        <v>100</v>
      </c>
      <c r="G179" s="7" t="str">
        <f>VLOOKUP(C179,将池品质对照!A:C,3,0)</f>
        <v>稀有</v>
      </c>
    </row>
    <row r="180" spans="1:7" s="7" customFormat="1" ht="16.5">
      <c r="A180" s="7">
        <v>7969</v>
      </c>
      <c r="B180" s="30">
        <v>404030</v>
      </c>
      <c r="C180" s="30" t="s">
        <v>95</v>
      </c>
      <c r="D180" s="30">
        <v>604</v>
      </c>
      <c r="E180" s="30" t="s">
        <v>266</v>
      </c>
      <c r="F180" s="32">
        <v>100</v>
      </c>
      <c r="G180" s="7" t="str">
        <f>VLOOKUP(C180,将池品质对照!A:C,3,0)</f>
        <v>稀有</v>
      </c>
    </row>
    <row r="181" spans="1:7" s="7" customFormat="1" ht="16.5">
      <c r="A181" s="7">
        <v>7970</v>
      </c>
      <c r="B181" s="30">
        <v>404040</v>
      </c>
      <c r="C181" s="30" t="s">
        <v>102</v>
      </c>
      <c r="D181" s="30">
        <v>604</v>
      </c>
      <c r="E181" s="30" t="s">
        <v>266</v>
      </c>
      <c r="F181" s="32">
        <v>150</v>
      </c>
      <c r="G181" s="7" t="str">
        <f>VLOOKUP(C181,将池品质对照!A:C,3,0)</f>
        <v>稀有</v>
      </c>
    </row>
    <row r="182" spans="1:7" s="7" customFormat="1" ht="16.5">
      <c r="A182" s="7">
        <v>7971</v>
      </c>
      <c r="B182" s="30">
        <v>404060</v>
      </c>
      <c r="C182" s="30" t="s">
        <v>109</v>
      </c>
      <c r="D182" s="30">
        <v>604</v>
      </c>
      <c r="E182" s="30" t="s">
        <v>266</v>
      </c>
      <c r="F182" s="32">
        <v>150</v>
      </c>
      <c r="G182" s="7" t="str">
        <f>VLOOKUP(C182,将池品质对照!A:C,3,0)</f>
        <v>稀有</v>
      </c>
    </row>
    <row r="183" spans="1:7" s="7" customFormat="1" ht="16.5">
      <c r="A183" s="7">
        <v>7972</v>
      </c>
      <c r="B183" s="30">
        <v>404070</v>
      </c>
      <c r="C183" s="30" t="s">
        <v>116</v>
      </c>
      <c r="D183" s="30">
        <v>604</v>
      </c>
      <c r="E183" s="30" t="s">
        <v>266</v>
      </c>
      <c r="F183" s="32">
        <v>100</v>
      </c>
      <c r="G183" s="7" t="str">
        <f>VLOOKUP(C183,将池品质对照!A:C,3,0)</f>
        <v>稀有</v>
      </c>
    </row>
    <row r="184" spans="1:7" s="7" customFormat="1" ht="16.5">
      <c r="A184" s="7">
        <v>7973</v>
      </c>
      <c r="B184" s="30">
        <v>404080</v>
      </c>
      <c r="C184" s="30" t="s">
        <v>123</v>
      </c>
      <c r="D184" s="30">
        <v>604</v>
      </c>
      <c r="E184" s="30" t="s">
        <v>266</v>
      </c>
      <c r="F184" s="32">
        <v>150</v>
      </c>
      <c r="G184" s="7" t="str">
        <f>VLOOKUP(C184,将池品质对照!A:C,3,0)</f>
        <v>稀有</v>
      </c>
    </row>
    <row r="185" spans="1:7" s="7" customFormat="1" ht="16.5">
      <c r="A185" s="7">
        <v>7974</v>
      </c>
      <c r="B185" s="30">
        <v>404090</v>
      </c>
      <c r="C185" s="30" t="s">
        <v>130</v>
      </c>
      <c r="D185" s="30">
        <v>604</v>
      </c>
      <c r="E185" s="30" t="s">
        <v>266</v>
      </c>
      <c r="F185" s="32">
        <v>100</v>
      </c>
      <c r="G185" s="7" t="str">
        <f>VLOOKUP(C185,将池品质对照!A:C,3,0)</f>
        <v>稀有</v>
      </c>
    </row>
    <row r="186" spans="1:7" s="7" customFormat="1" ht="16.5">
      <c r="A186" s="7">
        <v>7975</v>
      </c>
      <c r="B186" s="30">
        <v>404110</v>
      </c>
      <c r="C186" s="30" t="s">
        <v>137</v>
      </c>
      <c r="D186" s="30">
        <v>604</v>
      </c>
      <c r="E186" s="30" t="s">
        <v>266</v>
      </c>
      <c r="F186" s="32">
        <v>100</v>
      </c>
      <c r="G186" s="7" t="str">
        <f>VLOOKUP(C186,将池品质对照!A:C,3,0)</f>
        <v>稀有</v>
      </c>
    </row>
    <row r="187" spans="1:7" s="7" customFormat="1" ht="16.5">
      <c r="A187" s="7">
        <v>7976</v>
      </c>
      <c r="B187" s="30">
        <v>404140</v>
      </c>
      <c r="C187" s="30" t="s">
        <v>143</v>
      </c>
      <c r="D187" s="30">
        <v>604</v>
      </c>
      <c r="E187" s="30" t="s">
        <v>266</v>
      </c>
      <c r="F187" s="32">
        <v>100</v>
      </c>
      <c r="G187" s="7" t="str">
        <f>VLOOKUP(C187,将池品质对照!A:C,3,0)</f>
        <v>稀有</v>
      </c>
    </row>
    <row r="188" spans="1:7" s="7" customFormat="1" ht="16.5">
      <c r="A188" s="7">
        <v>7977</v>
      </c>
      <c r="B188" s="30">
        <v>404150</v>
      </c>
      <c r="C188" s="30" t="s">
        <v>149</v>
      </c>
      <c r="D188" s="30">
        <v>604</v>
      </c>
      <c r="E188" s="30" t="s">
        <v>266</v>
      </c>
      <c r="F188" s="32">
        <v>100</v>
      </c>
      <c r="G188" s="7" t="str">
        <f>VLOOKUP(C188,将池品质对照!A:C,3,0)</f>
        <v>稀有</v>
      </c>
    </row>
    <row r="189" spans="1:7" s="7" customFormat="1" ht="16.5">
      <c r="A189" s="7">
        <v>7978</v>
      </c>
      <c r="B189" s="30">
        <v>404170</v>
      </c>
      <c r="C189" s="30" t="s">
        <v>155</v>
      </c>
      <c r="D189" s="30">
        <v>604</v>
      </c>
      <c r="E189" s="30" t="s">
        <v>266</v>
      </c>
      <c r="F189" s="32">
        <v>150</v>
      </c>
      <c r="G189" s="7" t="str">
        <f>VLOOKUP(C189,将池品质对照!A:C,3,0)</f>
        <v>稀有</v>
      </c>
    </row>
    <row r="190" spans="1:7" s="7" customFormat="1" ht="16.5">
      <c r="A190" s="7">
        <v>7979</v>
      </c>
      <c r="B190" s="30">
        <v>404180</v>
      </c>
      <c r="C190" s="30" t="s">
        <v>161</v>
      </c>
      <c r="D190" s="30">
        <v>604</v>
      </c>
      <c r="E190" s="30" t="s">
        <v>266</v>
      </c>
      <c r="F190" s="32">
        <v>100</v>
      </c>
      <c r="G190" s="7" t="str">
        <f>VLOOKUP(C190,将池品质对照!A:C,3,0)</f>
        <v>稀有</v>
      </c>
    </row>
    <row r="191" spans="1:7" s="7" customFormat="1" ht="16.5">
      <c r="A191" s="7">
        <v>7980</v>
      </c>
      <c r="B191" s="30">
        <v>404200</v>
      </c>
      <c r="C191" s="30" t="s">
        <v>96</v>
      </c>
      <c r="D191" s="30">
        <v>604</v>
      </c>
      <c r="E191" s="30" t="s">
        <v>266</v>
      </c>
      <c r="F191" s="32">
        <v>150</v>
      </c>
      <c r="G191" s="7" t="str">
        <f>VLOOKUP(C191,将池品质对照!A:C,3,0)</f>
        <v>稀有</v>
      </c>
    </row>
    <row r="192" spans="1:7" s="7" customFormat="1" ht="16.5">
      <c r="A192" s="7">
        <v>7981</v>
      </c>
      <c r="B192" s="30">
        <v>404240</v>
      </c>
      <c r="C192" s="30" t="s">
        <v>103</v>
      </c>
      <c r="D192" s="30">
        <v>604</v>
      </c>
      <c r="E192" s="30" t="s">
        <v>266</v>
      </c>
      <c r="F192" s="32">
        <v>100</v>
      </c>
      <c r="G192" s="7" t="str">
        <f>VLOOKUP(C192,将池品质对照!A:C,3,0)</f>
        <v>稀有</v>
      </c>
    </row>
    <row r="193" spans="1:7" s="7" customFormat="1" ht="16.5">
      <c r="A193" s="7">
        <v>7982</v>
      </c>
      <c r="B193" s="30">
        <v>404280</v>
      </c>
      <c r="C193" s="30" t="s">
        <v>110</v>
      </c>
      <c r="D193" s="30">
        <v>604</v>
      </c>
      <c r="E193" s="30" t="s">
        <v>266</v>
      </c>
      <c r="F193" s="32">
        <v>150</v>
      </c>
      <c r="G193" s="7" t="str">
        <f>VLOOKUP(C193,将池品质对照!A:C,3,0)</f>
        <v>稀有</v>
      </c>
    </row>
    <row r="194" spans="1:7" s="7" customFormat="1" ht="16.5">
      <c r="A194" s="7">
        <v>7983</v>
      </c>
      <c r="B194" s="30">
        <v>404320</v>
      </c>
      <c r="C194" s="30" t="s">
        <v>117</v>
      </c>
      <c r="D194" s="30">
        <v>604</v>
      </c>
      <c r="E194" s="30" t="s">
        <v>266</v>
      </c>
      <c r="F194" s="32">
        <v>100</v>
      </c>
      <c r="G194" s="7" t="str">
        <f>VLOOKUP(C194,将池品质对照!A:C,3,0)</f>
        <v>稀有</v>
      </c>
    </row>
    <row r="195" spans="1:7" s="7" customFormat="1" ht="16.5">
      <c r="A195" s="7">
        <v>7984</v>
      </c>
      <c r="B195" s="30">
        <v>404330</v>
      </c>
      <c r="C195" s="30" t="s">
        <v>124</v>
      </c>
      <c r="D195" s="30">
        <v>604</v>
      </c>
      <c r="E195" s="30" t="s">
        <v>266</v>
      </c>
      <c r="F195" s="32">
        <v>100</v>
      </c>
      <c r="G195" s="7" t="str">
        <f>VLOOKUP(C195,将池品质对照!A:C,3,0)</f>
        <v>稀有</v>
      </c>
    </row>
    <row r="196" spans="1:7" s="7" customFormat="1" ht="16.5">
      <c r="A196" s="7">
        <v>7985</v>
      </c>
      <c r="B196" s="30">
        <v>404410</v>
      </c>
      <c r="C196" s="30" t="s">
        <v>131</v>
      </c>
      <c r="D196" s="30">
        <v>604</v>
      </c>
      <c r="E196" s="30" t="s">
        <v>266</v>
      </c>
      <c r="F196" s="32">
        <v>150</v>
      </c>
      <c r="G196" s="7" t="str">
        <f>VLOOKUP(C196,将池品质对照!A:C,3,0)</f>
        <v>稀有</v>
      </c>
    </row>
    <row r="197" spans="1:7" s="7" customFormat="1" ht="16.5">
      <c r="A197" s="7">
        <v>7986</v>
      </c>
      <c r="B197" s="30">
        <v>404430</v>
      </c>
      <c r="C197" s="30" t="s">
        <v>138</v>
      </c>
      <c r="D197" s="30">
        <v>604</v>
      </c>
      <c r="E197" s="30" t="s">
        <v>266</v>
      </c>
      <c r="F197" s="32">
        <v>150</v>
      </c>
      <c r="G197" s="7" t="str">
        <f>VLOOKUP(C197,将池品质对照!A:C,3,0)</f>
        <v>稀有</v>
      </c>
    </row>
    <row r="198" spans="1:7" s="7" customFormat="1" ht="16.5">
      <c r="A198" s="7">
        <v>7987</v>
      </c>
      <c r="B198" s="30">
        <v>404440</v>
      </c>
      <c r="C198" s="30" t="s">
        <v>144</v>
      </c>
      <c r="D198" s="30">
        <v>604</v>
      </c>
      <c r="E198" s="30" t="s">
        <v>266</v>
      </c>
      <c r="F198" s="32">
        <v>100</v>
      </c>
      <c r="G198" s="7" t="str">
        <f>VLOOKUP(C198,将池品质对照!A:C,3,0)</f>
        <v>稀有</v>
      </c>
    </row>
    <row r="199" spans="1:7" s="7" customFormat="1" ht="16.5">
      <c r="A199" s="7">
        <v>7988</v>
      </c>
      <c r="B199" s="30">
        <v>420540</v>
      </c>
      <c r="C199" s="30" t="s">
        <v>150</v>
      </c>
      <c r="D199" s="30">
        <v>604</v>
      </c>
      <c r="E199" s="30" t="s">
        <v>266</v>
      </c>
      <c r="F199" s="32">
        <v>100</v>
      </c>
      <c r="G199" s="7" t="str">
        <f>VLOOKUP(C199,将池品质对照!A:C,3,0)</f>
        <v>稀有</v>
      </c>
    </row>
    <row r="200" spans="1:7" s="7" customFormat="1" ht="16.5">
      <c r="A200" s="7">
        <v>7989</v>
      </c>
      <c r="B200" s="30">
        <v>420550</v>
      </c>
      <c r="C200" s="30" t="s">
        <v>156</v>
      </c>
      <c r="D200" s="30">
        <v>604</v>
      </c>
      <c r="E200" s="30" t="s">
        <v>266</v>
      </c>
      <c r="F200" s="32">
        <v>100</v>
      </c>
      <c r="G200" s="7" t="str">
        <f>VLOOKUP(C200,将池品质对照!A:C,3,0)</f>
        <v>稀有</v>
      </c>
    </row>
    <row r="201" spans="1:7" s="7" customFormat="1" ht="16.5">
      <c r="A201" s="7">
        <v>7990</v>
      </c>
      <c r="B201" s="30">
        <v>420570</v>
      </c>
      <c r="C201" s="30" t="s">
        <v>162</v>
      </c>
      <c r="D201" s="30">
        <v>604</v>
      </c>
      <c r="E201" s="30" t="s">
        <v>266</v>
      </c>
      <c r="F201" s="32">
        <v>100</v>
      </c>
      <c r="G201" s="7" t="str">
        <f>VLOOKUP(C201,将池品质对照!A:C,3,0)</f>
        <v>稀有</v>
      </c>
    </row>
    <row r="202" spans="1:7" s="7" customFormat="1" ht="16.5">
      <c r="A202" s="7">
        <v>7991</v>
      </c>
      <c r="B202" s="30">
        <v>420610</v>
      </c>
      <c r="C202" s="30" t="s">
        <v>97</v>
      </c>
      <c r="D202" s="30">
        <v>604</v>
      </c>
      <c r="E202" s="30" t="s">
        <v>266</v>
      </c>
      <c r="F202" s="32">
        <v>100</v>
      </c>
      <c r="G202" s="7" t="str">
        <f>VLOOKUP(C202,将池品质对照!A:C,3,0)</f>
        <v>稀有</v>
      </c>
    </row>
    <row r="203" spans="1:7" s="7" customFormat="1" ht="16.5">
      <c r="A203" s="7">
        <v>7992</v>
      </c>
      <c r="B203" s="30">
        <v>420790</v>
      </c>
      <c r="C203" s="30" t="s">
        <v>104</v>
      </c>
      <c r="D203" s="30">
        <v>604</v>
      </c>
      <c r="E203" s="30" t="s">
        <v>266</v>
      </c>
      <c r="F203" s="32">
        <v>100</v>
      </c>
      <c r="G203" s="7" t="str">
        <f>VLOOKUP(C203,将池品质对照!A:C,3,0)</f>
        <v>稀有</v>
      </c>
    </row>
    <row r="204" spans="1:7" s="7" customFormat="1" ht="16.5">
      <c r="A204" s="7">
        <v>7993</v>
      </c>
      <c r="B204" s="33">
        <v>405390</v>
      </c>
      <c r="C204" s="33" t="s">
        <v>111</v>
      </c>
      <c r="D204" s="30">
        <v>604</v>
      </c>
      <c r="E204" s="33" t="s">
        <v>266</v>
      </c>
      <c r="F204" s="32">
        <v>50</v>
      </c>
      <c r="G204" s="7" t="str">
        <f>VLOOKUP(C204,将池品质对照!A:C,3,0)</f>
        <v>稀有</v>
      </c>
    </row>
    <row r="205" spans="1:7" s="7" customFormat="1" ht="16.5">
      <c r="A205" s="7">
        <v>7994</v>
      </c>
      <c r="B205" s="33">
        <v>4010570</v>
      </c>
      <c r="C205" s="33" t="s">
        <v>118</v>
      </c>
      <c r="D205" s="30">
        <v>604</v>
      </c>
      <c r="E205" s="33" t="s">
        <v>266</v>
      </c>
      <c r="F205" s="32">
        <v>50</v>
      </c>
      <c r="G205" s="7" t="str">
        <f>VLOOKUP(C205,将池品质对照!A:C,3,0)</f>
        <v>稀有</v>
      </c>
    </row>
    <row r="206" spans="1:7" s="7" customFormat="1" ht="16.5">
      <c r="A206" s="7">
        <v>7995</v>
      </c>
      <c r="B206" s="33">
        <v>420900</v>
      </c>
      <c r="C206" s="33" t="s">
        <v>125</v>
      </c>
      <c r="D206" s="30">
        <v>604</v>
      </c>
      <c r="E206" s="33" t="s">
        <v>266</v>
      </c>
      <c r="F206" s="32">
        <v>50</v>
      </c>
      <c r="G206" s="7" t="str">
        <f>VLOOKUP(C206,将池品质对照!A:C,3,0)</f>
        <v>稀有</v>
      </c>
    </row>
    <row r="207" spans="1:7" s="7" customFormat="1" ht="16.5">
      <c r="A207" s="7">
        <v>7996</v>
      </c>
      <c r="B207" s="30">
        <v>405370</v>
      </c>
      <c r="C207" s="30" t="s">
        <v>132</v>
      </c>
      <c r="D207" s="30">
        <v>604</v>
      </c>
      <c r="E207" s="33" t="s">
        <v>266</v>
      </c>
      <c r="F207" s="32">
        <v>50</v>
      </c>
      <c r="G207" s="7" t="str">
        <f>VLOOKUP(C207,将池品质对照!A:C,3,0)</f>
        <v>稀有</v>
      </c>
    </row>
    <row r="208" spans="1:7" s="7" customFormat="1" ht="16.5">
      <c r="A208" s="7">
        <v>7997</v>
      </c>
      <c r="B208" s="34">
        <v>400340</v>
      </c>
      <c r="C208" s="35" t="s">
        <v>163</v>
      </c>
      <c r="D208" s="34">
        <v>605</v>
      </c>
      <c r="E208" s="34" t="s">
        <v>266</v>
      </c>
      <c r="F208" s="13">
        <v>100</v>
      </c>
      <c r="G208" s="7" t="str">
        <f>VLOOKUP(C208,将池品质对照!A:C,3,0)</f>
        <v>稀有</v>
      </c>
    </row>
    <row r="209" spans="1:7" s="7" customFormat="1" ht="16.5">
      <c r="A209" s="7">
        <v>7998</v>
      </c>
      <c r="B209" s="34">
        <v>400370</v>
      </c>
      <c r="C209" s="35" t="s">
        <v>171</v>
      </c>
      <c r="D209" s="34">
        <v>605</v>
      </c>
      <c r="E209" s="34" t="s">
        <v>266</v>
      </c>
      <c r="F209" s="13">
        <v>100</v>
      </c>
      <c r="G209" s="7" t="str">
        <f>VLOOKUP(C209,将池品质对照!A:C,3,0)</f>
        <v>稀有</v>
      </c>
    </row>
    <row r="210" spans="1:7" s="7" customFormat="1" ht="16.5">
      <c r="A210" s="7">
        <v>7999</v>
      </c>
      <c r="B210" s="34">
        <v>400380</v>
      </c>
      <c r="C210" s="35" t="s">
        <v>178</v>
      </c>
      <c r="D210" s="34">
        <v>605</v>
      </c>
      <c r="E210" s="34" t="s">
        <v>266</v>
      </c>
      <c r="F210" s="13">
        <v>100</v>
      </c>
      <c r="G210" s="7" t="str">
        <f>VLOOKUP(C210,将池品质对照!A:C,3,0)</f>
        <v>稀有</v>
      </c>
    </row>
    <row r="211" spans="1:7" s="7" customFormat="1" ht="16.5">
      <c r="A211" s="7">
        <v>8000</v>
      </c>
      <c r="B211" s="34">
        <v>400390</v>
      </c>
      <c r="C211" s="35" t="s">
        <v>185</v>
      </c>
      <c r="D211" s="34">
        <v>605</v>
      </c>
      <c r="E211" s="34" t="s">
        <v>266</v>
      </c>
      <c r="F211" s="13">
        <v>100</v>
      </c>
      <c r="G211" s="7" t="str">
        <f>VLOOKUP(C211,将池品质对照!A:C,3,0)</f>
        <v>稀有</v>
      </c>
    </row>
    <row r="212" spans="1:7" s="7" customFormat="1" ht="16.5">
      <c r="A212" s="7">
        <v>8001</v>
      </c>
      <c r="B212" s="34">
        <v>400400</v>
      </c>
      <c r="C212" s="35" t="s">
        <v>192</v>
      </c>
      <c r="D212" s="34">
        <v>605</v>
      </c>
      <c r="E212" s="34" t="s">
        <v>266</v>
      </c>
      <c r="F212" s="13">
        <v>100</v>
      </c>
      <c r="G212" s="7" t="str">
        <f>VLOOKUP(C212,将池品质对照!A:C,3,0)</f>
        <v>稀有</v>
      </c>
    </row>
    <row r="213" spans="1:7" s="7" customFormat="1" ht="16.5">
      <c r="A213" s="7">
        <v>8002</v>
      </c>
      <c r="B213" s="34">
        <v>400410</v>
      </c>
      <c r="C213" s="35" t="s">
        <v>199</v>
      </c>
      <c r="D213" s="34">
        <v>605</v>
      </c>
      <c r="E213" s="34" t="s">
        <v>266</v>
      </c>
      <c r="F213" s="13">
        <v>100</v>
      </c>
      <c r="G213" s="7" t="str">
        <f>VLOOKUP(C213,将池品质对照!A:C,3,0)</f>
        <v>稀有</v>
      </c>
    </row>
    <row r="214" spans="1:7" s="7" customFormat="1" ht="16.5">
      <c r="A214" s="7">
        <v>8003</v>
      </c>
      <c r="B214" s="34">
        <v>400420</v>
      </c>
      <c r="C214" s="35" t="s">
        <v>206</v>
      </c>
      <c r="D214" s="34">
        <v>605</v>
      </c>
      <c r="E214" s="34" t="s">
        <v>266</v>
      </c>
      <c r="F214" s="13">
        <v>100</v>
      </c>
      <c r="G214" s="7" t="str">
        <f>VLOOKUP(C214,将池品质对照!A:C,3,0)</f>
        <v>稀有</v>
      </c>
    </row>
    <row r="215" spans="1:7" s="7" customFormat="1" ht="16.5">
      <c r="A215" s="7">
        <v>8004</v>
      </c>
      <c r="B215" s="34">
        <v>400430</v>
      </c>
      <c r="C215" s="35" t="s">
        <v>213</v>
      </c>
      <c r="D215" s="34">
        <v>605</v>
      </c>
      <c r="E215" s="34" t="s">
        <v>266</v>
      </c>
      <c r="F215" s="13">
        <v>100</v>
      </c>
      <c r="G215" s="7" t="str">
        <f>VLOOKUP(C215,将池品质对照!A:C,3,0)</f>
        <v>稀有</v>
      </c>
    </row>
    <row r="216" spans="1:7" s="7" customFormat="1" ht="16.5">
      <c r="A216" s="7">
        <v>8005</v>
      </c>
      <c r="B216" s="34">
        <v>400450</v>
      </c>
      <c r="C216" s="35" t="s">
        <v>219</v>
      </c>
      <c r="D216" s="34">
        <v>605</v>
      </c>
      <c r="E216" s="34" t="s">
        <v>266</v>
      </c>
      <c r="F216" s="13">
        <v>100</v>
      </c>
      <c r="G216" s="7" t="str">
        <f>VLOOKUP(C216,将池品质对照!A:C,3,0)</f>
        <v>稀有</v>
      </c>
    </row>
    <row r="217" spans="1:7" s="7" customFormat="1" ht="16.5">
      <c r="A217" s="7">
        <v>8006</v>
      </c>
      <c r="B217" s="34">
        <v>400460</v>
      </c>
      <c r="C217" s="35" t="s">
        <v>225</v>
      </c>
      <c r="D217" s="34">
        <v>605</v>
      </c>
      <c r="E217" s="34" t="s">
        <v>266</v>
      </c>
      <c r="F217" s="13">
        <v>150</v>
      </c>
      <c r="G217" s="7" t="str">
        <f>VLOOKUP(C217,将池品质对照!A:C,3,0)</f>
        <v>稀有</v>
      </c>
    </row>
    <row r="218" spans="1:7" s="7" customFormat="1" ht="16.5">
      <c r="A218" s="7">
        <v>8007</v>
      </c>
      <c r="B218" s="34">
        <v>400470</v>
      </c>
      <c r="C218" s="35" t="s">
        <v>231</v>
      </c>
      <c r="D218" s="34">
        <v>605</v>
      </c>
      <c r="E218" s="34" t="s">
        <v>266</v>
      </c>
      <c r="F218" s="13">
        <v>100</v>
      </c>
      <c r="G218" s="7" t="str">
        <f>VLOOKUP(C218,将池品质对照!A:C,3,0)</f>
        <v>稀有</v>
      </c>
    </row>
    <row r="219" spans="1:7" s="7" customFormat="1" ht="16.5">
      <c r="A219" s="7">
        <v>8008</v>
      </c>
      <c r="B219" s="34">
        <v>400480</v>
      </c>
      <c r="C219" s="35" t="s">
        <v>237</v>
      </c>
      <c r="D219" s="34">
        <v>605</v>
      </c>
      <c r="E219" s="34" t="s">
        <v>266</v>
      </c>
      <c r="F219" s="13">
        <v>100</v>
      </c>
      <c r="G219" s="7" t="str">
        <f>VLOOKUP(C219,将池品质对照!A:C,3,0)</f>
        <v>稀有</v>
      </c>
    </row>
    <row r="220" spans="1:7" s="7" customFormat="1" ht="16.5">
      <c r="A220" s="7">
        <v>8009</v>
      </c>
      <c r="B220" s="34">
        <v>400910</v>
      </c>
      <c r="C220" s="34" t="s">
        <v>165</v>
      </c>
      <c r="D220" s="34">
        <v>605</v>
      </c>
      <c r="E220" s="34" t="s">
        <v>266</v>
      </c>
      <c r="F220" s="13">
        <v>100</v>
      </c>
      <c r="G220" s="7" t="str">
        <f>VLOOKUP(C220,将池品质对照!A:C,3,0)</f>
        <v>稀有</v>
      </c>
    </row>
    <row r="221" spans="1:7" s="7" customFormat="1" ht="16.5">
      <c r="A221" s="7">
        <v>8010</v>
      </c>
      <c r="B221" s="34">
        <v>400930</v>
      </c>
      <c r="C221" s="34" t="s">
        <v>172</v>
      </c>
      <c r="D221" s="34">
        <v>605</v>
      </c>
      <c r="E221" s="34" t="s">
        <v>266</v>
      </c>
      <c r="F221" s="13">
        <v>100</v>
      </c>
      <c r="G221" s="7" t="str">
        <f>VLOOKUP(C221,将池品质对照!A:C,3,0)</f>
        <v>稀有</v>
      </c>
    </row>
    <row r="222" spans="1:7" s="7" customFormat="1" ht="16.5">
      <c r="A222" s="7">
        <v>8011</v>
      </c>
      <c r="B222" s="34">
        <v>400950</v>
      </c>
      <c r="C222" s="34" t="s">
        <v>179</v>
      </c>
      <c r="D222" s="34">
        <v>605</v>
      </c>
      <c r="E222" s="34" t="s">
        <v>266</v>
      </c>
      <c r="F222" s="13">
        <v>100</v>
      </c>
      <c r="G222" s="7" t="str">
        <f>VLOOKUP(C222,将池品质对照!A:C,3,0)</f>
        <v>稀有</v>
      </c>
    </row>
    <row r="223" spans="1:7" s="7" customFormat="1" ht="16.5">
      <c r="A223" s="7">
        <v>8012</v>
      </c>
      <c r="B223" s="34">
        <v>400980</v>
      </c>
      <c r="C223" s="34" t="s">
        <v>186</v>
      </c>
      <c r="D223" s="34">
        <v>605</v>
      </c>
      <c r="E223" s="34" t="s">
        <v>266</v>
      </c>
      <c r="F223" s="13">
        <v>100</v>
      </c>
      <c r="G223" s="7" t="str">
        <f>VLOOKUP(C223,将池品质对照!A:C,3,0)</f>
        <v>稀有</v>
      </c>
    </row>
    <row r="224" spans="1:7" s="7" customFormat="1" ht="16.5">
      <c r="A224" s="7">
        <v>8013</v>
      </c>
      <c r="B224" s="34">
        <v>401010</v>
      </c>
      <c r="C224" s="34" t="s">
        <v>193</v>
      </c>
      <c r="D224" s="34">
        <v>605</v>
      </c>
      <c r="E224" s="34" t="s">
        <v>266</v>
      </c>
      <c r="F224" s="13">
        <v>100</v>
      </c>
      <c r="G224" s="7" t="str">
        <f>VLOOKUP(C224,将池品质对照!A:C,3,0)</f>
        <v>稀有</v>
      </c>
    </row>
    <row r="225" spans="1:7" s="7" customFormat="1" ht="16.5">
      <c r="A225" s="7">
        <v>8014</v>
      </c>
      <c r="B225" s="34">
        <v>401030</v>
      </c>
      <c r="C225" s="34" t="s">
        <v>200</v>
      </c>
      <c r="D225" s="34">
        <v>605</v>
      </c>
      <c r="E225" s="34" t="s">
        <v>266</v>
      </c>
      <c r="F225" s="13">
        <v>100</v>
      </c>
      <c r="G225" s="7" t="str">
        <f>VLOOKUP(C225,将池品质对照!A:C,3,0)</f>
        <v>稀有</v>
      </c>
    </row>
    <row r="226" spans="1:7" s="7" customFormat="1" ht="16.5">
      <c r="A226" s="7">
        <v>8015</v>
      </c>
      <c r="B226" s="34">
        <v>401040</v>
      </c>
      <c r="C226" s="34" t="s">
        <v>207</v>
      </c>
      <c r="D226" s="34">
        <v>605</v>
      </c>
      <c r="E226" s="34" t="s">
        <v>266</v>
      </c>
      <c r="F226" s="13">
        <v>100</v>
      </c>
      <c r="G226" s="7" t="str">
        <f>VLOOKUP(C226,将池品质对照!A:C,3,0)</f>
        <v>稀有</v>
      </c>
    </row>
    <row r="227" spans="1:7" s="7" customFormat="1" ht="16.5">
      <c r="A227" s="7">
        <v>8016</v>
      </c>
      <c r="B227" s="34">
        <v>401050</v>
      </c>
      <c r="C227" s="34" t="s">
        <v>214</v>
      </c>
      <c r="D227" s="34">
        <v>605</v>
      </c>
      <c r="E227" s="34" t="s">
        <v>266</v>
      </c>
      <c r="F227" s="13">
        <v>150</v>
      </c>
      <c r="G227" s="7" t="str">
        <f>VLOOKUP(C227,将池品质对照!A:C,3,0)</f>
        <v>稀有</v>
      </c>
    </row>
    <row r="228" spans="1:7" s="7" customFormat="1" ht="16.5">
      <c r="A228" s="7">
        <v>8017</v>
      </c>
      <c r="B228" s="34">
        <v>402880</v>
      </c>
      <c r="C228" s="35" t="s">
        <v>220</v>
      </c>
      <c r="D228" s="34">
        <v>605</v>
      </c>
      <c r="E228" s="34" t="s">
        <v>266</v>
      </c>
      <c r="F228" s="13">
        <v>150</v>
      </c>
      <c r="G228" s="7" t="str">
        <f>VLOOKUP(C228,将池品质对照!A:C,3,0)</f>
        <v>稀有</v>
      </c>
    </row>
    <row r="229" spans="1:7" s="7" customFormat="1" ht="16.5">
      <c r="A229" s="7">
        <v>8018</v>
      </c>
      <c r="B229" s="34">
        <v>402890</v>
      </c>
      <c r="C229" s="35" t="s">
        <v>226</v>
      </c>
      <c r="D229" s="34">
        <v>605</v>
      </c>
      <c r="E229" s="34" t="s">
        <v>266</v>
      </c>
      <c r="F229" s="13">
        <v>100</v>
      </c>
      <c r="G229" s="7" t="str">
        <f>VLOOKUP(C229,将池品质对照!A:C,3,0)</f>
        <v>稀有</v>
      </c>
    </row>
    <row r="230" spans="1:7" s="7" customFormat="1" ht="16.5">
      <c r="A230" s="7">
        <v>8019</v>
      </c>
      <c r="B230" s="34">
        <v>402900</v>
      </c>
      <c r="C230" s="35" t="s">
        <v>232</v>
      </c>
      <c r="D230" s="34">
        <v>605</v>
      </c>
      <c r="E230" s="34" t="s">
        <v>266</v>
      </c>
      <c r="F230" s="13">
        <v>150</v>
      </c>
      <c r="G230" s="7" t="str">
        <f>VLOOKUP(C230,将池品质对照!A:C,3,0)</f>
        <v>稀有</v>
      </c>
    </row>
    <row r="231" spans="1:7" s="7" customFormat="1" ht="16.5">
      <c r="A231" s="7">
        <v>8020</v>
      </c>
      <c r="B231" s="34">
        <v>402910</v>
      </c>
      <c r="C231" s="35" t="s">
        <v>238</v>
      </c>
      <c r="D231" s="34">
        <v>605</v>
      </c>
      <c r="E231" s="34" t="s">
        <v>266</v>
      </c>
      <c r="F231" s="13">
        <v>150</v>
      </c>
      <c r="G231" s="7" t="str">
        <f>VLOOKUP(C231,将池品质对照!A:C,3,0)</f>
        <v>稀有</v>
      </c>
    </row>
    <row r="232" spans="1:7" s="7" customFormat="1" ht="16.5">
      <c r="A232" s="7">
        <v>8021</v>
      </c>
      <c r="B232" s="34">
        <v>402920</v>
      </c>
      <c r="C232" s="35" t="s">
        <v>166</v>
      </c>
      <c r="D232" s="34">
        <v>605</v>
      </c>
      <c r="E232" s="34" t="s">
        <v>266</v>
      </c>
      <c r="F232" s="13">
        <v>150</v>
      </c>
      <c r="G232" s="7" t="str">
        <f>VLOOKUP(C232,将池品质对照!A:C,3,0)</f>
        <v>稀有</v>
      </c>
    </row>
    <row r="233" spans="1:7" s="7" customFormat="1" ht="16.5">
      <c r="A233" s="7">
        <v>8022</v>
      </c>
      <c r="B233" s="34">
        <v>402930</v>
      </c>
      <c r="C233" s="35" t="s">
        <v>173</v>
      </c>
      <c r="D233" s="34">
        <v>605</v>
      </c>
      <c r="E233" s="34" t="s">
        <v>266</v>
      </c>
      <c r="F233" s="13">
        <v>150</v>
      </c>
      <c r="G233" s="7" t="str">
        <f>VLOOKUP(C233,将池品质对照!A:C,3,0)</f>
        <v>稀有</v>
      </c>
    </row>
    <row r="234" spans="1:7" s="7" customFormat="1" ht="16.5">
      <c r="A234" s="7">
        <v>8023</v>
      </c>
      <c r="B234" s="34">
        <v>402950</v>
      </c>
      <c r="C234" s="35" t="s">
        <v>180</v>
      </c>
      <c r="D234" s="34">
        <v>605</v>
      </c>
      <c r="E234" s="34" t="s">
        <v>266</v>
      </c>
      <c r="F234" s="13">
        <v>150</v>
      </c>
      <c r="G234" s="7" t="str">
        <f>VLOOKUP(C234,将池品质对照!A:C,3,0)</f>
        <v>稀有</v>
      </c>
    </row>
    <row r="235" spans="1:7" s="7" customFormat="1" ht="16.5">
      <c r="A235" s="7">
        <v>8024</v>
      </c>
      <c r="B235" s="34">
        <v>402980</v>
      </c>
      <c r="C235" s="35" t="s">
        <v>187</v>
      </c>
      <c r="D235" s="34">
        <v>605</v>
      </c>
      <c r="E235" s="34" t="s">
        <v>266</v>
      </c>
      <c r="F235" s="13">
        <v>150</v>
      </c>
      <c r="G235" s="7" t="str">
        <f>VLOOKUP(C235,将池品质对照!A:C,3,0)</f>
        <v>稀有</v>
      </c>
    </row>
    <row r="236" spans="1:7" s="7" customFormat="1" ht="16.5">
      <c r="A236" s="7">
        <v>8025</v>
      </c>
      <c r="B236" s="34">
        <v>403010</v>
      </c>
      <c r="C236" s="35" t="s">
        <v>194</v>
      </c>
      <c r="D236" s="34">
        <v>605</v>
      </c>
      <c r="E236" s="34" t="s">
        <v>266</v>
      </c>
      <c r="F236" s="13">
        <v>100</v>
      </c>
      <c r="G236" s="7" t="str">
        <f>VLOOKUP(C236,将池品质对照!A:C,3,0)</f>
        <v>稀有</v>
      </c>
    </row>
    <row r="237" spans="1:7" s="7" customFormat="1" ht="16.5">
      <c r="A237" s="7">
        <v>8026</v>
      </c>
      <c r="B237" s="34">
        <v>403030</v>
      </c>
      <c r="C237" s="35" t="s">
        <v>201</v>
      </c>
      <c r="D237" s="34">
        <v>605</v>
      </c>
      <c r="E237" s="34" t="s">
        <v>266</v>
      </c>
      <c r="F237" s="13">
        <v>100</v>
      </c>
      <c r="G237" s="7" t="str">
        <f>VLOOKUP(C237,将池品质对照!A:C,3,0)</f>
        <v>稀有</v>
      </c>
    </row>
    <row r="238" spans="1:7" s="7" customFormat="1" ht="16.5">
      <c r="A238" s="7">
        <v>8027</v>
      </c>
      <c r="B238" s="34">
        <v>403040</v>
      </c>
      <c r="C238" s="35" t="s">
        <v>208</v>
      </c>
      <c r="D238" s="34">
        <v>605</v>
      </c>
      <c r="E238" s="34" t="s">
        <v>266</v>
      </c>
      <c r="F238" s="13">
        <v>150</v>
      </c>
      <c r="G238" s="7" t="str">
        <f>VLOOKUP(C238,将池品质对照!A:C,3,0)</f>
        <v>稀有</v>
      </c>
    </row>
    <row r="239" spans="1:7" s="7" customFormat="1" ht="16.5">
      <c r="A239" s="7">
        <v>8028</v>
      </c>
      <c r="B239" s="34">
        <v>403090</v>
      </c>
      <c r="C239" s="35" t="s">
        <v>215</v>
      </c>
      <c r="D239" s="34">
        <v>605</v>
      </c>
      <c r="E239" s="34" t="s">
        <v>266</v>
      </c>
      <c r="F239" s="13">
        <v>150</v>
      </c>
      <c r="G239" s="7" t="str">
        <f>VLOOKUP(C239,将池品质对照!A:C,3,0)</f>
        <v>稀有</v>
      </c>
    </row>
    <row r="240" spans="1:7" s="7" customFormat="1" ht="16.5">
      <c r="A240" s="7">
        <v>8029</v>
      </c>
      <c r="B240" s="34">
        <v>403130</v>
      </c>
      <c r="C240" s="35" t="s">
        <v>221</v>
      </c>
      <c r="D240" s="34">
        <v>605</v>
      </c>
      <c r="E240" s="34" t="s">
        <v>266</v>
      </c>
      <c r="F240" s="13">
        <v>100</v>
      </c>
      <c r="G240" s="7" t="str">
        <f>VLOOKUP(C240,将池品质对照!A:C,3,0)</f>
        <v>稀有</v>
      </c>
    </row>
    <row r="241" spans="1:7" s="7" customFormat="1" ht="16.5">
      <c r="A241" s="7">
        <v>8030</v>
      </c>
      <c r="B241" s="34">
        <v>403140</v>
      </c>
      <c r="C241" s="35" t="s">
        <v>227</v>
      </c>
      <c r="D241" s="34">
        <v>605</v>
      </c>
      <c r="E241" s="34" t="s">
        <v>266</v>
      </c>
      <c r="F241" s="13">
        <v>100</v>
      </c>
      <c r="G241" s="7" t="str">
        <f>VLOOKUP(C241,将池品质对照!A:C,3,0)</f>
        <v>稀有</v>
      </c>
    </row>
    <row r="242" spans="1:7" s="7" customFormat="1" ht="16.5">
      <c r="A242" s="7">
        <v>8031</v>
      </c>
      <c r="B242" s="34">
        <v>403160</v>
      </c>
      <c r="C242" s="35" t="s">
        <v>233</v>
      </c>
      <c r="D242" s="34">
        <v>605</v>
      </c>
      <c r="E242" s="34" t="s">
        <v>266</v>
      </c>
      <c r="F242" s="13">
        <v>100</v>
      </c>
      <c r="G242" s="7" t="str">
        <f>VLOOKUP(C242,将池品质对照!A:C,3,0)</f>
        <v>稀有</v>
      </c>
    </row>
    <row r="243" spans="1:7" s="7" customFormat="1" ht="16.5">
      <c r="A243" s="7">
        <v>8032</v>
      </c>
      <c r="B243" s="34">
        <v>403220</v>
      </c>
      <c r="C243" s="35" t="s">
        <v>239</v>
      </c>
      <c r="D243" s="34">
        <v>605</v>
      </c>
      <c r="E243" s="34" t="s">
        <v>266</v>
      </c>
      <c r="F243" s="13">
        <v>100</v>
      </c>
      <c r="G243" s="7" t="str">
        <f>VLOOKUP(C243,将池品质对照!A:C,3,0)</f>
        <v>稀有</v>
      </c>
    </row>
    <row r="244" spans="1:7" s="7" customFormat="1" ht="16.5">
      <c r="A244" s="7">
        <v>8033</v>
      </c>
      <c r="B244" s="34">
        <v>403230</v>
      </c>
      <c r="C244" s="35" t="s">
        <v>167</v>
      </c>
      <c r="D244" s="34">
        <v>605</v>
      </c>
      <c r="E244" s="34" t="s">
        <v>266</v>
      </c>
      <c r="F244" s="13">
        <v>100</v>
      </c>
      <c r="G244" s="7" t="str">
        <f>VLOOKUP(C244,将池品质对照!A:C,3,0)</f>
        <v>稀有</v>
      </c>
    </row>
    <row r="245" spans="1:7" s="7" customFormat="1" ht="16.5">
      <c r="A245" s="7">
        <v>8034</v>
      </c>
      <c r="B245" s="34">
        <v>403240</v>
      </c>
      <c r="C245" s="35" t="s">
        <v>174</v>
      </c>
      <c r="D245" s="34">
        <v>605</v>
      </c>
      <c r="E245" s="34" t="s">
        <v>266</v>
      </c>
      <c r="F245" s="13">
        <v>100</v>
      </c>
      <c r="G245" s="7" t="str">
        <f>VLOOKUP(C245,将池品质对照!A:C,3,0)</f>
        <v>稀有</v>
      </c>
    </row>
    <row r="246" spans="1:7" s="7" customFormat="1" ht="16.5">
      <c r="A246" s="7">
        <v>8035</v>
      </c>
      <c r="B246" s="34">
        <v>403250</v>
      </c>
      <c r="C246" s="35" t="s">
        <v>181</v>
      </c>
      <c r="D246" s="34">
        <v>605</v>
      </c>
      <c r="E246" s="34" t="s">
        <v>266</v>
      </c>
      <c r="F246" s="13">
        <v>100</v>
      </c>
      <c r="G246" s="7" t="str">
        <f>VLOOKUP(C246,将池品质对照!A:C,3,0)</f>
        <v>稀有</v>
      </c>
    </row>
    <row r="247" spans="1:7" s="7" customFormat="1" ht="16.5">
      <c r="A247" s="7">
        <v>8036</v>
      </c>
      <c r="B247" s="34">
        <v>403270</v>
      </c>
      <c r="C247" s="35" t="s">
        <v>188</v>
      </c>
      <c r="D247" s="34">
        <v>605</v>
      </c>
      <c r="E247" s="34" t="s">
        <v>266</v>
      </c>
      <c r="F247" s="13">
        <v>100</v>
      </c>
      <c r="G247" s="7" t="str">
        <f>VLOOKUP(C247,将池品质对照!A:C,3,0)</f>
        <v>稀有</v>
      </c>
    </row>
    <row r="248" spans="1:7" s="7" customFormat="1" ht="16.5">
      <c r="A248" s="7">
        <v>8037</v>
      </c>
      <c r="B248" s="34">
        <v>403280</v>
      </c>
      <c r="C248" s="35" t="s">
        <v>195</v>
      </c>
      <c r="D248" s="34">
        <v>605</v>
      </c>
      <c r="E248" s="34" t="s">
        <v>266</v>
      </c>
      <c r="F248" s="13">
        <v>100</v>
      </c>
      <c r="G248" s="7" t="str">
        <f>VLOOKUP(C248,将池品质对照!A:C,3,0)</f>
        <v>稀有</v>
      </c>
    </row>
    <row r="249" spans="1:7" s="7" customFormat="1" ht="16.5">
      <c r="A249" s="7">
        <v>8038</v>
      </c>
      <c r="B249" s="34">
        <v>403290</v>
      </c>
      <c r="C249" s="35" t="s">
        <v>202</v>
      </c>
      <c r="D249" s="34">
        <v>605</v>
      </c>
      <c r="E249" s="34" t="s">
        <v>266</v>
      </c>
      <c r="F249" s="13">
        <v>100</v>
      </c>
      <c r="G249" s="7" t="str">
        <f>VLOOKUP(C249,将池品质对照!A:C,3,0)</f>
        <v>稀有</v>
      </c>
    </row>
    <row r="250" spans="1:7" s="7" customFormat="1" ht="16.5">
      <c r="A250" s="7">
        <v>8039</v>
      </c>
      <c r="B250" s="34">
        <v>403310</v>
      </c>
      <c r="C250" s="35" t="s">
        <v>209</v>
      </c>
      <c r="D250" s="34">
        <v>605</v>
      </c>
      <c r="E250" s="34" t="s">
        <v>266</v>
      </c>
      <c r="F250" s="13">
        <v>100</v>
      </c>
      <c r="G250" s="7" t="str">
        <f>VLOOKUP(C250,将池品质对照!A:C,3,0)</f>
        <v>稀有</v>
      </c>
    </row>
    <row r="251" spans="1:7" s="7" customFormat="1" ht="16.5">
      <c r="A251" s="7">
        <v>8040</v>
      </c>
      <c r="B251" s="34">
        <v>403330</v>
      </c>
      <c r="C251" s="35" t="s">
        <v>216</v>
      </c>
      <c r="D251" s="34">
        <v>605</v>
      </c>
      <c r="E251" s="34" t="s">
        <v>266</v>
      </c>
      <c r="F251" s="13">
        <v>150</v>
      </c>
      <c r="G251" s="7" t="str">
        <f>VLOOKUP(C251,将池品质对照!A:C,3,0)</f>
        <v>稀有</v>
      </c>
    </row>
    <row r="252" spans="1:7" s="7" customFormat="1" ht="16.5">
      <c r="A252" s="7">
        <v>8041</v>
      </c>
      <c r="B252" s="34">
        <v>403350</v>
      </c>
      <c r="C252" s="35" t="s">
        <v>222</v>
      </c>
      <c r="D252" s="34">
        <v>605</v>
      </c>
      <c r="E252" s="34" t="s">
        <v>266</v>
      </c>
      <c r="F252" s="13">
        <v>100</v>
      </c>
      <c r="G252" s="7" t="str">
        <f>VLOOKUP(C252,将池品质对照!A:C,3,0)</f>
        <v>稀有</v>
      </c>
    </row>
    <row r="253" spans="1:7" s="7" customFormat="1" ht="16.5">
      <c r="A253" s="7">
        <v>8042</v>
      </c>
      <c r="B253" s="34">
        <v>403380</v>
      </c>
      <c r="C253" s="35" t="s">
        <v>228</v>
      </c>
      <c r="D253" s="34">
        <v>605</v>
      </c>
      <c r="E253" s="34" t="s">
        <v>266</v>
      </c>
      <c r="F253" s="13">
        <v>100</v>
      </c>
      <c r="G253" s="7" t="str">
        <f>VLOOKUP(C253,将池品质对照!A:C,3,0)</f>
        <v>稀有</v>
      </c>
    </row>
    <row r="254" spans="1:7" s="7" customFormat="1" ht="16.5">
      <c r="A254" s="7">
        <v>8043</v>
      </c>
      <c r="B254" s="34">
        <v>403410</v>
      </c>
      <c r="C254" s="35" t="s">
        <v>234</v>
      </c>
      <c r="D254" s="34">
        <v>605</v>
      </c>
      <c r="E254" s="34" t="s">
        <v>266</v>
      </c>
      <c r="F254" s="13">
        <v>100</v>
      </c>
      <c r="G254" s="7" t="str">
        <f>VLOOKUP(C254,将池品质对照!A:C,3,0)</f>
        <v>稀有</v>
      </c>
    </row>
    <row r="255" spans="1:7" s="7" customFormat="1" ht="16.5">
      <c r="A255" s="7">
        <v>8044</v>
      </c>
      <c r="B255" s="34">
        <v>404020</v>
      </c>
      <c r="C255" s="34" t="s">
        <v>240</v>
      </c>
      <c r="D255" s="34">
        <v>605</v>
      </c>
      <c r="E255" s="34" t="s">
        <v>266</v>
      </c>
      <c r="F255" s="13">
        <v>100</v>
      </c>
      <c r="G255" s="7" t="str">
        <f>VLOOKUP(C255,将池品质对照!A:C,3,0)</f>
        <v>稀有</v>
      </c>
    </row>
    <row r="256" spans="1:7" s="7" customFormat="1" ht="16.5">
      <c r="A256" s="7">
        <v>8045</v>
      </c>
      <c r="B256" s="34">
        <v>404050</v>
      </c>
      <c r="C256" s="34" t="s">
        <v>168</v>
      </c>
      <c r="D256" s="34">
        <v>605</v>
      </c>
      <c r="E256" s="34" t="s">
        <v>266</v>
      </c>
      <c r="F256" s="13">
        <v>100</v>
      </c>
      <c r="G256" s="7" t="str">
        <f>VLOOKUP(C256,将池品质对照!A:C,3,0)</f>
        <v>稀有</v>
      </c>
    </row>
    <row r="257" spans="1:7" s="7" customFormat="1" ht="16.5">
      <c r="A257" s="7">
        <v>8046</v>
      </c>
      <c r="B257" s="34">
        <v>404100</v>
      </c>
      <c r="C257" s="34" t="s">
        <v>175</v>
      </c>
      <c r="D257" s="34">
        <v>605</v>
      </c>
      <c r="E257" s="34" t="s">
        <v>266</v>
      </c>
      <c r="F257" s="13">
        <v>100</v>
      </c>
      <c r="G257" s="7" t="str">
        <f>VLOOKUP(C257,将池品质对照!A:C,3,0)</f>
        <v>稀有</v>
      </c>
    </row>
    <row r="258" spans="1:7" s="7" customFormat="1" ht="16.5">
      <c r="A258" s="7">
        <v>8047</v>
      </c>
      <c r="B258" s="34">
        <v>404120</v>
      </c>
      <c r="C258" s="34" t="s">
        <v>182</v>
      </c>
      <c r="D258" s="34">
        <v>605</v>
      </c>
      <c r="E258" s="34" t="s">
        <v>266</v>
      </c>
      <c r="F258" s="13">
        <v>100</v>
      </c>
      <c r="G258" s="7" t="str">
        <f>VLOOKUP(C258,将池品质对照!A:C,3,0)</f>
        <v>稀有</v>
      </c>
    </row>
    <row r="259" spans="1:7" s="7" customFormat="1" ht="16.5">
      <c r="A259" s="7">
        <v>8048</v>
      </c>
      <c r="B259" s="34">
        <v>404130</v>
      </c>
      <c r="C259" s="34" t="s">
        <v>189</v>
      </c>
      <c r="D259" s="34">
        <v>605</v>
      </c>
      <c r="E259" s="34" t="s">
        <v>266</v>
      </c>
      <c r="F259" s="13">
        <v>150</v>
      </c>
      <c r="G259" s="7" t="str">
        <f>VLOOKUP(C259,将池品质对照!A:C,3,0)</f>
        <v>稀有</v>
      </c>
    </row>
    <row r="260" spans="1:7" s="7" customFormat="1" ht="16.5">
      <c r="A260" s="7">
        <v>8049</v>
      </c>
      <c r="B260" s="34">
        <v>404160</v>
      </c>
      <c r="C260" s="34" t="s">
        <v>196</v>
      </c>
      <c r="D260" s="34">
        <v>605</v>
      </c>
      <c r="E260" s="34" t="s">
        <v>266</v>
      </c>
      <c r="F260" s="13">
        <v>100</v>
      </c>
      <c r="G260" s="7" t="str">
        <f>VLOOKUP(C260,将池品质对照!A:C,3,0)</f>
        <v>稀有</v>
      </c>
    </row>
    <row r="261" spans="1:7" s="7" customFormat="1" ht="16.5">
      <c r="A261" s="7">
        <v>8050</v>
      </c>
      <c r="B261" s="34">
        <v>404190</v>
      </c>
      <c r="C261" s="34" t="s">
        <v>203</v>
      </c>
      <c r="D261" s="34">
        <v>605</v>
      </c>
      <c r="E261" s="34" t="s">
        <v>266</v>
      </c>
      <c r="F261" s="13">
        <v>100</v>
      </c>
      <c r="G261" s="7" t="str">
        <f>VLOOKUP(C261,将池品质对照!A:C,3,0)</f>
        <v>稀有</v>
      </c>
    </row>
    <row r="262" spans="1:7" s="7" customFormat="1" ht="16.5">
      <c r="A262" s="7">
        <v>8051</v>
      </c>
      <c r="B262" s="34">
        <v>404210</v>
      </c>
      <c r="C262" s="34" t="s">
        <v>210</v>
      </c>
      <c r="D262" s="34">
        <v>605</v>
      </c>
      <c r="E262" s="34" t="s">
        <v>266</v>
      </c>
      <c r="F262" s="13">
        <v>150</v>
      </c>
      <c r="G262" s="7" t="str">
        <f>VLOOKUP(C262,将池品质对照!A:C,3,0)</f>
        <v>稀有</v>
      </c>
    </row>
    <row r="263" spans="1:7" s="7" customFormat="1" ht="16.5">
      <c r="A263" s="7">
        <v>8052</v>
      </c>
      <c r="B263" s="34">
        <v>404220</v>
      </c>
      <c r="C263" s="34" t="s">
        <v>217</v>
      </c>
      <c r="D263" s="34">
        <v>605</v>
      </c>
      <c r="E263" s="34" t="s">
        <v>266</v>
      </c>
      <c r="F263" s="13">
        <v>100</v>
      </c>
      <c r="G263" s="7" t="str">
        <f>VLOOKUP(C263,将池品质对照!A:C,3,0)</f>
        <v>稀有</v>
      </c>
    </row>
    <row r="264" spans="1:7" s="7" customFormat="1" ht="16.5">
      <c r="A264" s="7">
        <v>8053</v>
      </c>
      <c r="B264" s="34">
        <v>404230</v>
      </c>
      <c r="C264" s="34" t="s">
        <v>223</v>
      </c>
      <c r="D264" s="34">
        <v>605</v>
      </c>
      <c r="E264" s="34" t="s">
        <v>266</v>
      </c>
      <c r="F264" s="13">
        <v>100</v>
      </c>
      <c r="G264" s="7" t="str">
        <f>VLOOKUP(C264,将池品质对照!A:C,3,0)</f>
        <v>稀有</v>
      </c>
    </row>
    <row r="265" spans="1:7" s="7" customFormat="1" ht="16.5">
      <c r="A265" s="7">
        <v>8054</v>
      </c>
      <c r="B265" s="34">
        <v>404250</v>
      </c>
      <c r="C265" s="34" t="s">
        <v>229</v>
      </c>
      <c r="D265" s="34">
        <v>605</v>
      </c>
      <c r="E265" s="34" t="s">
        <v>266</v>
      </c>
      <c r="F265" s="13">
        <v>150</v>
      </c>
      <c r="G265" s="7" t="str">
        <f>VLOOKUP(C265,将池品质对照!A:C,3,0)</f>
        <v>稀有</v>
      </c>
    </row>
    <row r="266" spans="1:7" s="7" customFormat="1" ht="16.5">
      <c r="A266" s="7">
        <v>8055</v>
      </c>
      <c r="B266" s="34">
        <v>404260</v>
      </c>
      <c r="C266" s="34" t="s">
        <v>235</v>
      </c>
      <c r="D266" s="34">
        <v>605</v>
      </c>
      <c r="E266" s="34" t="s">
        <v>266</v>
      </c>
      <c r="F266" s="13">
        <v>100</v>
      </c>
      <c r="G266" s="7" t="str">
        <f>VLOOKUP(C266,将池品质对照!A:C,3,0)</f>
        <v>稀有</v>
      </c>
    </row>
    <row r="267" spans="1:7" s="7" customFormat="1" ht="16.5">
      <c r="A267" s="7">
        <v>8056</v>
      </c>
      <c r="B267" s="34">
        <v>404290</v>
      </c>
      <c r="C267" s="34" t="s">
        <v>241</v>
      </c>
      <c r="D267" s="34">
        <v>605</v>
      </c>
      <c r="E267" s="34" t="s">
        <v>266</v>
      </c>
      <c r="F267" s="13">
        <v>100</v>
      </c>
      <c r="G267" s="7" t="str">
        <f>VLOOKUP(C267,将池品质对照!A:C,3,0)</f>
        <v>稀有</v>
      </c>
    </row>
    <row r="268" spans="1:7" s="7" customFormat="1" ht="16.5">
      <c r="A268" s="7">
        <v>8057</v>
      </c>
      <c r="B268" s="34">
        <v>404300</v>
      </c>
      <c r="C268" s="34" t="s">
        <v>169</v>
      </c>
      <c r="D268" s="34">
        <v>605</v>
      </c>
      <c r="E268" s="34" t="s">
        <v>266</v>
      </c>
      <c r="F268" s="13">
        <v>100</v>
      </c>
      <c r="G268" s="7" t="str">
        <f>VLOOKUP(C268,将池品质对照!A:C,3,0)</f>
        <v>稀有</v>
      </c>
    </row>
    <row r="269" spans="1:7" s="7" customFormat="1" ht="16.5">
      <c r="A269" s="7">
        <v>8058</v>
      </c>
      <c r="B269" s="34">
        <v>404350</v>
      </c>
      <c r="C269" s="34" t="s">
        <v>176</v>
      </c>
      <c r="D269" s="34">
        <v>605</v>
      </c>
      <c r="E269" s="34" t="s">
        <v>266</v>
      </c>
      <c r="F269" s="13">
        <v>100</v>
      </c>
      <c r="G269" s="7" t="str">
        <f>VLOOKUP(C269,将池品质对照!A:C,3,0)</f>
        <v>稀有</v>
      </c>
    </row>
    <row r="270" spans="1:7" s="7" customFormat="1" ht="16.5">
      <c r="A270" s="7">
        <v>8059</v>
      </c>
      <c r="B270" s="34">
        <v>404360</v>
      </c>
      <c r="C270" s="34" t="s">
        <v>183</v>
      </c>
      <c r="D270" s="34">
        <v>605</v>
      </c>
      <c r="E270" s="34" t="s">
        <v>266</v>
      </c>
      <c r="F270" s="13">
        <v>100</v>
      </c>
      <c r="G270" s="7" t="str">
        <f>VLOOKUP(C270,将池品质对照!A:C,3,0)</f>
        <v>稀有</v>
      </c>
    </row>
    <row r="271" spans="1:7" s="7" customFormat="1" ht="16.5">
      <c r="A271" s="7">
        <v>8060</v>
      </c>
      <c r="B271" s="34">
        <v>404370</v>
      </c>
      <c r="C271" s="34" t="s">
        <v>190</v>
      </c>
      <c r="D271" s="34">
        <v>605</v>
      </c>
      <c r="E271" s="34" t="s">
        <v>266</v>
      </c>
      <c r="F271" s="13">
        <v>100</v>
      </c>
      <c r="G271" s="7" t="str">
        <f>VLOOKUP(C271,将池品质对照!A:C,3,0)</f>
        <v>稀有</v>
      </c>
    </row>
    <row r="272" spans="1:7" s="7" customFormat="1" ht="16.5">
      <c r="A272" s="7">
        <v>8061</v>
      </c>
      <c r="B272" s="34">
        <v>404380</v>
      </c>
      <c r="C272" s="34" t="s">
        <v>197</v>
      </c>
      <c r="D272" s="34">
        <v>605</v>
      </c>
      <c r="E272" s="34" t="s">
        <v>266</v>
      </c>
      <c r="F272" s="13">
        <v>100</v>
      </c>
      <c r="G272" s="7" t="str">
        <f>VLOOKUP(C272,将池品质对照!A:C,3,0)</f>
        <v>稀有</v>
      </c>
    </row>
    <row r="273" spans="1:7" s="7" customFormat="1" ht="16.5">
      <c r="A273" s="7">
        <v>8062</v>
      </c>
      <c r="B273" s="34">
        <v>404390</v>
      </c>
      <c r="C273" s="34" t="s">
        <v>204</v>
      </c>
      <c r="D273" s="34">
        <v>605</v>
      </c>
      <c r="E273" s="34" t="s">
        <v>266</v>
      </c>
      <c r="F273" s="13">
        <v>100</v>
      </c>
      <c r="G273" s="7" t="str">
        <f>VLOOKUP(C273,将池品质对照!A:C,3,0)</f>
        <v>稀有</v>
      </c>
    </row>
    <row r="274" spans="1:7" s="7" customFormat="1" ht="16.5">
      <c r="A274" s="7">
        <v>8063</v>
      </c>
      <c r="B274" s="34">
        <v>404400</v>
      </c>
      <c r="C274" s="34" t="s">
        <v>211</v>
      </c>
      <c r="D274" s="34">
        <v>605</v>
      </c>
      <c r="E274" s="34" t="s">
        <v>266</v>
      </c>
      <c r="F274" s="13">
        <v>100</v>
      </c>
      <c r="G274" s="7" t="str">
        <f>VLOOKUP(C274,将池品质对照!A:C,3,0)</f>
        <v>稀有</v>
      </c>
    </row>
    <row r="275" spans="1:7" s="7" customFormat="1" ht="16.5">
      <c r="A275" s="7">
        <v>8064</v>
      </c>
      <c r="B275" s="34">
        <v>404420</v>
      </c>
      <c r="C275" s="34" t="s">
        <v>218</v>
      </c>
      <c r="D275" s="34">
        <v>605</v>
      </c>
      <c r="E275" s="34" t="s">
        <v>266</v>
      </c>
      <c r="F275" s="13">
        <v>100</v>
      </c>
      <c r="G275" s="7" t="str">
        <f>VLOOKUP(C275,将池品质对照!A:C,3,0)</f>
        <v>稀有</v>
      </c>
    </row>
    <row r="276" spans="1:7" s="7" customFormat="1" ht="16.5">
      <c r="A276" s="7">
        <v>8065</v>
      </c>
      <c r="B276" s="34">
        <v>404460</v>
      </c>
      <c r="C276" s="34" t="s">
        <v>224</v>
      </c>
      <c r="D276" s="34">
        <v>605</v>
      </c>
      <c r="E276" s="34" t="s">
        <v>266</v>
      </c>
      <c r="F276" s="13">
        <v>100</v>
      </c>
      <c r="G276" s="7" t="str">
        <f>VLOOKUP(C276,将池品质对照!A:C,3,0)</f>
        <v>稀有</v>
      </c>
    </row>
    <row r="277" spans="1:7" s="7" customFormat="1" ht="16.5">
      <c r="A277" s="7">
        <v>8066</v>
      </c>
      <c r="B277" s="34">
        <v>420140</v>
      </c>
      <c r="C277" s="34" t="s">
        <v>230</v>
      </c>
      <c r="D277" s="34">
        <v>605</v>
      </c>
      <c r="E277" s="34" t="s">
        <v>266</v>
      </c>
      <c r="F277" s="13">
        <v>100</v>
      </c>
      <c r="G277" s="7" t="str">
        <f>VLOOKUP(C277,将池品质对照!A:C,3,0)</f>
        <v>稀有</v>
      </c>
    </row>
    <row r="278" spans="1:7" s="7" customFormat="1" ht="16.5">
      <c r="A278" s="7">
        <v>8067</v>
      </c>
      <c r="B278" s="34">
        <v>420560</v>
      </c>
      <c r="C278" s="34" t="s">
        <v>236</v>
      </c>
      <c r="D278" s="34">
        <v>605</v>
      </c>
      <c r="E278" s="34" t="s">
        <v>266</v>
      </c>
      <c r="F278" s="13">
        <v>100</v>
      </c>
      <c r="G278" s="7" t="str">
        <f>VLOOKUP(C278,将池品质对照!A:C,3,0)</f>
        <v>稀有</v>
      </c>
    </row>
    <row r="279" spans="1:7" s="7" customFormat="1" ht="16.5">
      <c r="A279" s="7">
        <v>8068</v>
      </c>
      <c r="B279" s="34">
        <v>420600</v>
      </c>
      <c r="C279" s="34" t="s">
        <v>242</v>
      </c>
      <c r="D279" s="34">
        <v>605</v>
      </c>
      <c r="E279" s="34" t="s">
        <v>266</v>
      </c>
      <c r="F279" s="13">
        <v>100</v>
      </c>
      <c r="G279" s="7" t="str">
        <f>VLOOKUP(C279,将池品质对照!A:C,3,0)</f>
        <v>稀有</v>
      </c>
    </row>
    <row r="280" spans="1:7" s="7" customFormat="1" ht="16.5">
      <c r="A280" s="7">
        <v>8069</v>
      </c>
      <c r="B280" s="34">
        <v>420690</v>
      </c>
      <c r="C280" s="34" t="s">
        <v>170</v>
      </c>
      <c r="D280" s="34">
        <v>605</v>
      </c>
      <c r="E280" s="34" t="s">
        <v>266</v>
      </c>
      <c r="F280" s="13">
        <v>100</v>
      </c>
      <c r="G280" s="7" t="str">
        <f>VLOOKUP(C280,将池品质对照!A:C,3,0)</f>
        <v>稀有</v>
      </c>
    </row>
    <row r="281" spans="1:7" s="7" customFormat="1" ht="16.5">
      <c r="A281" s="7">
        <v>8070</v>
      </c>
      <c r="B281" s="34">
        <v>420700</v>
      </c>
      <c r="C281" s="34" t="s">
        <v>177</v>
      </c>
      <c r="D281" s="34">
        <v>605</v>
      </c>
      <c r="E281" s="34" t="s">
        <v>266</v>
      </c>
      <c r="F281" s="13">
        <v>100</v>
      </c>
      <c r="G281" s="7" t="str">
        <f>VLOOKUP(C281,将池品质对照!A:C,3,0)</f>
        <v>稀有</v>
      </c>
    </row>
    <row r="282" spans="1:7" s="7" customFormat="1" ht="16.5">
      <c r="A282" s="7">
        <v>8071</v>
      </c>
      <c r="B282" s="34">
        <v>420710</v>
      </c>
      <c r="C282" s="34" t="s">
        <v>184</v>
      </c>
      <c r="D282" s="34">
        <v>605</v>
      </c>
      <c r="E282" s="34" t="s">
        <v>266</v>
      </c>
      <c r="F282" s="13">
        <v>100</v>
      </c>
      <c r="G282" s="7" t="str">
        <f>VLOOKUP(C282,将池品质对照!A:C,3,0)</f>
        <v>稀有</v>
      </c>
    </row>
    <row r="283" spans="1:7" s="7" customFormat="1" ht="16.5">
      <c r="A283" s="7">
        <v>8072</v>
      </c>
      <c r="B283" s="34">
        <v>420720</v>
      </c>
      <c r="C283" s="34" t="s">
        <v>191</v>
      </c>
      <c r="D283" s="34">
        <v>605</v>
      </c>
      <c r="E283" s="34" t="s">
        <v>266</v>
      </c>
      <c r="F283" s="13">
        <v>100</v>
      </c>
      <c r="G283" s="7" t="str">
        <f>VLOOKUP(C283,将池品质对照!A:C,3,0)</f>
        <v>稀有</v>
      </c>
    </row>
    <row r="284" spans="1:7" s="7" customFormat="1" ht="16.5">
      <c r="A284" s="7">
        <v>8073</v>
      </c>
      <c r="B284" s="34">
        <v>420730</v>
      </c>
      <c r="C284" s="34" t="s">
        <v>198</v>
      </c>
      <c r="D284" s="34">
        <v>605</v>
      </c>
      <c r="E284" s="34" t="s">
        <v>266</v>
      </c>
      <c r="F284" s="13">
        <v>100</v>
      </c>
      <c r="G284" s="7" t="str">
        <f>VLOOKUP(C284,将池品质对照!A:C,3,0)</f>
        <v>稀有</v>
      </c>
    </row>
    <row r="285" spans="1:7" s="7" customFormat="1" ht="16.5">
      <c r="A285" s="7">
        <v>8074</v>
      </c>
      <c r="B285" s="34">
        <v>420740</v>
      </c>
      <c r="C285" s="34" t="s">
        <v>205</v>
      </c>
      <c r="D285" s="34">
        <v>605</v>
      </c>
      <c r="E285" s="34" t="s">
        <v>266</v>
      </c>
      <c r="F285" s="13">
        <v>100</v>
      </c>
      <c r="G285" s="7" t="str">
        <f>VLOOKUP(C285,将池品质对照!A:C,3,0)</f>
        <v>稀有</v>
      </c>
    </row>
    <row r="286" spans="1:7" s="7" customFormat="1" ht="16.5">
      <c r="A286" s="7">
        <v>8075</v>
      </c>
      <c r="B286" s="34">
        <v>420820</v>
      </c>
      <c r="C286" s="34" t="s">
        <v>212</v>
      </c>
      <c r="D286" s="34">
        <v>605</v>
      </c>
      <c r="E286" s="34" t="s">
        <v>266</v>
      </c>
      <c r="F286" s="13">
        <v>100</v>
      </c>
      <c r="G286" s="7" t="str">
        <f>VLOOKUP(C286,将池品质对照!A:C,3,0)</f>
        <v>稀有</v>
      </c>
    </row>
  </sheetData>
  <phoneticPr fontId="4" type="noConversion"/>
  <conditionalFormatting sqref="A1:A286">
    <cfRule type="duplicateValues" dxfId="0" priority="2"/>
  </conditionalFormatting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804BB2-5AAD-43B6-B033-34997C334650}">
  <dimension ref="C2:D9"/>
  <sheetViews>
    <sheetView tabSelected="1" workbookViewId="0">
      <selection activeCell="F15" sqref="F15"/>
    </sheetView>
  </sheetViews>
  <sheetFormatPr defaultRowHeight="13.5"/>
  <cols>
    <col min="3" max="3" width="29.625" customWidth="1"/>
  </cols>
  <sheetData>
    <row r="2" spans="3:4" ht="57">
      <c r="C2" s="36" t="s">
        <v>317</v>
      </c>
    </row>
    <row r="3" spans="3:4" ht="15" thickBot="1">
      <c r="C3" s="37"/>
    </row>
    <row r="4" spans="3:4" ht="15" thickBot="1">
      <c r="C4" s="38" t="s">
        <v>266</v>
      </c>
      <c r="D4" s="39" t="s">
        <v>318</v>
      </c>
    </row>
    <row r="5" spans="3:4" ht="17.25" thickBot="1">
      <c r="C5" s="42" t="s">
        <v>319</v>
      </c>
      <c r="D5" s="40">
        <v>1E-3</v>
      </c>
    </row>
    <row r="6" spans="3:4" ht="17.25" thickBot="1">
      <c r="C6" s="42" t="s">
        <v>322</v>
      </c>
      <c r="D6" s="40">
        <v>5.0000000000000001E-3</v>
      </c>
    </row>
    <row r="7" spans="3:4" ht="17.25" thickBot="1">
      <c r="C7" s="42" t="s">
        <v>323</v>
      </c>
      <c r="D7" s="40">
        <v>6.6699999999999995E-2</v>
      </c>
    </row>
    <row r="8" spans="3:4" ht="17.25" thickBot="1">
      <c r="C8" s="43" t="s">
        <v>320</v>
      </c>
      <c r="D8" s="40">
        <v>0.2</v>
      </c>
    </row>
    <row r="9" spans="3:4" ht="17.25" thickBot="1">
      <c r="C9" s="44" t="s">
        <v>321</v>
      </c>
      <c r="D9" s="41">
        <v>0.72729999999999995</v>
      </c>
    </row>
  </sheetData>
  <phoneticPr fontId="4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9"/>
  <sheetViews>
    <sheetView workbookViewId="0"/>
  </sheetViews>
  <sheetFormatPr defaultRowHeight="13.5"/>
  <cols>
    <col min="1" max="1" width="15" customWidth="1"/>
    <col min="2" max="2" width="10" customWidth="1"/>
  </cols>
  <sheetData>
    <row r="1" spans="1:2">
      <c r="A1" s="4" t="s">
        <v>1</v>
      </c>
      <c r="B1" s="4" t="s">
        <v>243</v>
      </c>
    </row>
    <row r="2" spans="1:2">
      <c r="A2" s="2" t="s">
        <v>4</v>
      </c>
      <c r="B2" s="3">
        <v>6</v>
      </c>
    </row>
    <row r="3" spans="1:2">
      <c r="A3" s="2" t="s">
        <v>14</v>
      </c>
      <c r="B3" s="3">
        <v>8</v>
      </c>
    </row>
    <row r="4" spans="1:2">
      <c r="A4" s="2" t="s">
        <v>24</v>
      </c>
      <c r="B4" s="3">
        <v>6</v>
      </c>
    </row>
    <row r="5" spans="1:2">
      <c r="A5" s="2" t="s">
        <v>31</v>
      </c>
      <c r="B5" s="3">
        <v>7</v>
      </c>
    </row>
    <row r="6" spans="1:2">
      <c r="A6" s="2" t="s">
        <v>39</v>
      </c>
      <c r="B6" s="3">
        <v>51</v>
      </c>
    </row>
    <row r="7" spans="1:2">
      <c r="A7" s="2" t="s">
        <v>91</v>
      </c>
      <c r="B7" s="3">
        <v>72</v>
      </c>
    </row>
    <row r="8" spans="1:2">
      <c r="A8" s="2" t="s">
        <v>164</v>
      </c>
      <c r="B8" s="3">
        <v>79</v>
      </c>
    </row>
    <row r="9" spans="1:2">
      <c r="A9" s="5" t="s">
        <v>244</v>
      </c>
      <c r="B9" s="6">
        <v>229</v>
      </c>
    </row>
  </sheetData>
  <phoneticPr fontId="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将池品质对照</vt:lpstr>
      <vt:lpstr>Sheet1</vt:lpstr>
      <vt:lpstr>Sheet2</vt:lpstr>
      <vt:lpstr>统计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章藩</cp:lastModifiedBy>
  <dcterms:created xsi:type="dcterms:W3CDTF">2026-07-21T09:34:45Z</dcterms:created>
  <dcterms:modified xsi:type="dcterms:W3CDTF">2026-07-22T07:05:30Z</dcterms:modified>
</cp:coreProperties>
</file>